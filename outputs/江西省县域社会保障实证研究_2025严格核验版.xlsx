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a4c778f51349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县级总表2025" sheetId="1" r:id="R2ac8da59d860438a"/>
    <x:sheet xmlns:r="http://schemas.openxmlformats.org/officeDocument/2006/relationships" name="养老金比较" sheetId="2" r:id="R8adec6b294e64339"/>
    <x:sheet xmlns:r="http://schemas.openxmlformats.org/officeDocument/2006/relationships" name="公积金_11市" sheetId="3" r:id="R26902362c41b433d"/>
    <x:sheet xmlns:r="http://schemas.openxmlformats.org/officeDocument/2006/relationships" name="县级养老基金执行" sheetId="4" r:id="Rbd3bd5d9fe7348cb"/>
    <x:sheet xmlns:r="http://schemas.openxmlformats.org/officeDocument/2006/relationships" name="全省宏观指标" sheetId="5" r:id="Rc40b37d124194315"/>
    <x:sheet xmlns:r="http://schemas.openxmlformats.org/officeDocument/2006/relationships" name="指标证据明细" sheetId="6" r:id="R8f4f36d4aa5d4f36"/>
    <x:sheet xmlns:r="http://schemas.openxmlformats.org/officeDocument/2006/relationships" name="口径与数据字典" sheetId="7" r:id="R856c5ff939f54a6b"/>
    <x:sheet xmlns:r="http://schemas.openxmlformats.org/officeDocument/2006/relationships" name="县区采集进度" sheetId="8" r:id="Rd0eb9f60deb84a46"/>
    <x:sheet xmlns:r="http://schemas.openxmlformats.org/officeDocument/2006/relationships" name="总览看板" sheetId="9" r:id="R51a3ebd1c8654aca"/>
    <x:sheet xmlns:r="http://schemas.openxmlformats.org/officeDocument/2006/relationships" name="峡江养老金两年追踪" sheetId="10" r:id="R7c67522c7ed147f8"/>
    <x:sheet xmlns:r="http://schemas.openxmlformats.org/officeDocument/2006/relationships" name="省级财政与社保边界" sheetId="11" r:id="Rb8819d9b92984716"/>
    <x:sheet xmlns:r="http://schemas.openxmlformats.org/officeDocument/2006/relationships" name="公积金城市分层" sheetId="12" r:id="Rbbbe813677d84479"/>
    <x:sheet xmlns:r="http://schemas.openxmlformats.org/officeDocument/2006/relationships" name="人口迁移与赡养线索" sheetId="13" r:id="R5a926dcec0c04e1b"/>
    <x:sheet xmlns:r="http://schemas.openxmlformats.org/officeDocument/2006/relationships" name="制度规则与证据等级" sheetId="14" r:id="R657cfc7604854f5b"/>
    <x:sheet xmlns:r="http://schemas.openxmlformats.org/officeDocument/2006/relationships" name="赣州18县人口2024_25" sheetId="15" r:id="R3d16309451734f42"/>
    <x:sheet xmlns:r="http://schemas.openxmlformats.org/officeDocument/2006/relationships" name="研究问题与指标路线" sheetId="16" r:id="R5ce42d8403ff45ee"/>
    <x:sheet xmlns:r="http://schemas.openxmlformats.org/officeDocument/2006/relationships" name="研究结论看板" sheetId="17" r:id="Rf3220b84c95b4a87"/>
    <x:sheet xmlns:r="http://schemas.openxmlformats.org/officeDocument/2006/relationships" name="老龄化样本与口径" sheetId="18" r:id="R322b706517794e97"/>
    <x:sheet xmlns:r="http://schemas.openxmlformats.org/officeDocument/2006/relationships" name="报告与政策来源索引" sheetId="19" r:id="R7f03d3fc3b3141a8"/>
    <x:sheet xmlns:r="http://schemas.openxmlformats.org/officeDocument/2006/relationships" name="研究入口_新" sheetId="20" r:id="R7261b0e4091f40c7"/>
    <x:sheet xmlns:r="http://schemas.openxmlformats.org/officeDocument/2006/relationships" name="来源索引_新" sheetId="21" r:id="R75481e57334548b4"/>
    <x:sheet xmlns:r="http://schemas.openxmlformats.org/officeDocument/2006/relationships" name="县区编码100" sheetId="22" r:id="R3ef43a168cf34460"/>
    <x:sheet xmlns:r="http://schemas.openxmlformats.org/officeDocument/2006/relationships" name="证据事实142条" sheetId="23" r:id="Rf400aeffced64b48"/>
    <x:sheet xmlns:r="http://schemas.openxmlformats.org/officeDocument/2006/relationships" name="峡江养老金_复算" sheetId="24" r:id="R039b2e79b41a40f3"/>
    <x:sheet xmlns:r="http://schemas.openxmlformats.org/officeDocument/2006/relationships" name="峡江金额变化分解" sheetId="25" r:id="R1c36eefe190242f5"/>
    <x:sheet xmlns:r="http://schemas.openxmlformats.org/officeDocument/2006/relationships" name="赣州18县_政府原文" sheetId="26" r:id="Rde5d09f0602d4f76"/>
    <x:sheet xmlns:r="http://schemas.openxmlformats.org/officeDocument/2006/relationships" name="人口变动核对" sheetId="27" r:id="R68afadcedb72461f"/>
    <x:sheet xmlns:r="http://schemas.openxmlformats.org/officeDocument/2006/relationships" name="财政基金_不可混算" sheetId="28" r:id="R2ff923892e304507"/>
    <x:sheet xmlns:r="http://schemas.openxmlformats.org/officeDocument/2006/relationships" name="数据质量与缺口" sheetId="29" r:id="R99d1fd89c3bd44fa"/>
    <x:sheet xmlns:r="http://schemas.openxmlformats.org/officeDocument/2006/relationships" name="制度假说证伪路径" sheetId="30" r:id="Rb41b1800523840eb"/>
    <x:sheet xmlns:r="http://schemas.openxmlformats.org/officeDocument/2006/relationships" name="阅读与研究限制" sheetId="31" r:id="Rd144972d2b4e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#,##0.00"/>
    <x:numFmt numFmtId="202" formatCode="#,##0.##"/>
    <x:numFmt numFmtId="203" formatCode="0.00%"/>
    <x:numFmt numFmtId="204" formatCode="0.00&quot;x&quot;"/>
    <x:numFmt numFmtId="205" formatCode="0.00x"/>
    <x:numFmt numFmtId="206" formatCode="#,##0.0"/>
    <x:numFmt numFmtId="207" formatCode="0.00"/>
    <x:numFmt numFmtId="208" formatCode="+0.00;-0.00;0.00"/>
    <x:numFmt numFmtId="209" formatCode="+0.00%;-0.00%;0.00%"/>
    <x:numFmt numFmtId="210" formatCode="0.0%"/>
  </x:numFmts>
  <x:fonts count="12">
    <x:font>
      <x:sz val="11"/>
      <x:name val="Carlito"/>
    </x:font>
    <x:font>
      <x:b/>
      <x:sz val="10"/>
      <x:color rgb="FFFFFFFF"/>
      <x:name val="Carlito"/>
    </x:font>
    <x:font>
      <x:b/>
      <x:sz val="18"/>
      <x:color rgb="FFFFFFFF"/>
      <x:name val="Carlito"/>
    </x:font>
    <x:font>
      <x:sz val="10"/>
      <x:color rgb="FFFFFFFF"/>
      <x:name val="Carlito"/>
    </x:font>
    <x:font>
      <x:b/>
      <x:sz val="12"/>
      <x:color rgb="FF10334C"/>
      <x:name val="Carlito"/>
    </x:font>
    <x:font>
      <x:b/>
      <x:sz val="12"/>
      <x:color rgb="FF116849"/>
      <x:name val="Carlito"/>
    </x:font>
    <x:font>
      <x:b/>
      <x:sz val="12"/>
      <x:color rgb="FF174D78"/>
      <x:name val="Carlito"/>
    </x:font>
    <x:font>
      <x:sz val="10"/>
      <x:color rgb="FF546577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2355A"/>
      <x:name val="Carlito"/>
    </x:font>
    <x:font>
      <x:b/>
      <x:sz val="11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0334C"/>
      </x:patternFill>
    </x:fill>
    <x:fill>
      <x:patternFill patternType="solid">
        <x:fgColor rgb="FFEAF4F7"/>
      </x:patternFill>
    </x:fill>
    <x:fill>
      <x:patternFill patternType="solid">
        <x:fgColor rgb="FFF1F8F2"/>
      </x:patternFill>
    </x:fill>
    <x:fill>
      <x:patternFill patternType="solid">
        <x:fgColor rgb="FFEDF8F0"/>
      </x:patternFill>
    </x:fill>
    <x:fill>
      <x:patternFill patternType="solid">
        <x:fgColor rgb="FFEBF4FE"/>
      </x:patternFill>
    </x:fill>
    <x:fill>
      <x:patternFill patternType="solid">
        <x:fgColor rgb="FF176B70"/>
      </x:patternFill>
    </x:fill>
    <x:fill>
      <x:patternFill patternType="solid">
        <x:fgColor rgb="FFEDF4FB"/>
      </x:patternFill>
    </x:fill>
    <x:fill>
      <x:patternFill patternType="solid">
        <x:fgColor rgb="FFD9F5E8"/>
      </x:patternFill>
    </x:fill>
    <x:fill>
      <x:patternFill patternType="solid">
        <x:fgColor rgb="FFE8F3FC"/>
      </x:patternFill>
    </x:fill>
    <x:fill>
      <x:patternFill patternType="solid">
        <x:fgColor rgb="FFF0F5FA"/>
      </x:patternFill>
    </x:fill>
    <x:fill>
      <x:patternFill patternType="solid">
        <x:fgColor rgb="FF132846"/>
      </x:patternFill>
    </x:fill>
    <x:fill>
      <x:patternFill patternType="solid">
        <x:fgColor rgb="FF0F6675"/>
      </x:patternFill>
    </x:fill>
    <x:fill>
      <x:patternFill patternType="solid">
        <x:fgColor rgb="FFDBEAFE"/>
      </x:patternFill>
    </x:fill>
    <x:fill>
      <x:patternFill patternType="solid">
        <x:fgColor rgb="FFFFF5D6"/>
      </x:patternFill>
    </x:fill>
    <x:fill>
      <x:patternFill patternType="solid">
        <x:fgColor rgb="FFFFF0DB"/>
      </x:patternFill>
    </x:fill>
    <x:fill>
      <x:patternFill patternType="solid">
        <x:fgColor rgb="FFDCEFEB"/>
      </x:patternFill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3" fontId="0" fillId="3" borderId="0" xfId="0" applyNumberFormat="1" applyFont="1" applyFill="1" applyBorder="1"/>
    <x:xf numFmtId="0" fontId="0" fillId="3" borderId="0" xfId="0" applyNumberFormat="1" applyFont="1" applyFill="1" applyBorder="1"/>
    <x:xf numFmtId="203" fontId="0" fillId="3" borderId="1" xfId="0" applyNumberFormat="1" applyFont="1" applyFill="1" applyBorder="1"/>
    <x:xf numFmtId="0" fontId="0" fillId="3" borderId="1" xfId="0" applyNumberFormat="1" applyFont="1" applyFill="1" applyBorder="1"/>
    <x:xf numFmtId="201" fontId="0" fillId="4" borderId="0" xfId="0" applyNumberFormat="1" applyFont="1" applyFill="1" applyBorder="1"/>
    <x:xf numFmtId="204" fontId="0" fillId="4" borderId="0" xfId="0" applyNumberFormat="1" applyFont="1" applyFill="1" applyBorder="1"/>
    <x:xf numFmtId="201" fontId="0" fillId="4" borderId="1" xfId="0" applyNumberFormat="1" applyFont="1" applyFill="1" applyBorder="1"/>
    <x:xf numFmtId="204" fontId="0" fillId="4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4" fillId="8" borderId="1" xfId="0" applyNumberFormat="1" applyFont="1" applyFill="1" applyBorder="1"/>
    <x:xf numFmtId="0" fontId="4" fillId="8" borderId="1" xfId="0" applyNumberFormat="1" applyFont="1" applyFill="1" applyBorder="1" applyAlignment="1">
      <x:alignment horizontal="center"/>
    </x:xf>
    <x:xf numFmtId="201" fontId="0" fillId="9" borderId="0" xfId="0" applyNumberFormat="1" applyFont="1" applyFill="1" applyBorder="1"/>
    <x:xf numFmtId="201" fontId="5" fillId="9" borderId="0" xfId="0" applyNumberFormat="1" applyFont="1" applyFill="1" applyBorder="1"/>
    <x:xf numFmtId="201" fontId="0" fillId="9" borderId="1" xfId="0" applyNumberFormat="1" applyFont="1" applyFill="1" applyBorder="1"/>
    <x:xf numFmtId="201" fontId="5" fillId="9" borderId="1" xfId="0" applyNumberFormat="1" applyFont="1" applyFill="1" applyBorder="1"/>
    <x:xf numFmtId="203" fontId="0" fillId="10" borderId="0" xfId="0" applyNumberFormat="1" applyFont="1" applyFill="1" applyBorder="1"/>
    <x:xf numFmtId="203" fontId="6" fillId="10" borderId="0" xfId="0" applyNumberFormat="1" applyFont="1" applyFill="1" applyBorder="1"/>
    <x:xf numFmtId="203" fontId="0" fillId="10" borderId="1" xfId="0" applyNumberFormat="1" applyFont="1" applyFill="1" applyBorder="1"/>
    <x:xf numFmtId="203" fontId="6" fillId="10" borderId="1" xfId="0" applyNumberFormat="1" applyFont="1" applyFill="1" applyBorder="1"/>
    <x:xf numFmtId="0" fontId="0" fillId="11" borderId="0" xfId="0" applyNumberFormat="1" applyFont="1" applyFill="1" applyBorder="1"/>
    <x:xf numFmtId="0" fontId="7" fillId="11" borderId="0" xfId="0" applyNumberFormat="1" applyFont="1" applyFill="1" applyBorder="1"/>
    <x:xf numFmtId="0" fontId="0" fillId="11" borderId="1" xfId="0" applyNumberFormat="1" applyFont="1" applyFill="1" applyBorder="1"/>
    <x:xf numFmtId="0" fontId="7" fillId="11" borderId="1" xfId="0" applyNumberFormat="1" applyFont="1" applyFill="1" applyBorder="1"/>
    <x:xf numFmtId="0" fontId="0" fillId="0" borderId="0" xfId="0" applyNumberFormat="1" applyFont="1" applyFill="1" applyBorder="1"/>
    <x:xf numFmtId="0" fontId="0" fillId="12" borderId="0" xfId="0" applyNumberFormat="1" applyFont="1" applyFill="1" applyBorder="1"/>
    <x:xf numFmtId="0" fontId="8" fillId="12" borderId="0" xfId="0" applyNumberFormat="1" applyFont="1" applyFill="1" applyBorder="1"/>
    <x:xf numFmtId="0" fontId="0" fillId="13" borderId="0" xfId="0" applyNumberFormat="1" applyFont="1" applyFill="1" applyBorder="1"/>
    <x:xf numFmtId="0" fontId="9" fillId="13" borderId="0" xfId="0" applyNumberFormat="1" applyFont="1" applyFill="1" applyBorder="1"/>
    <x:xf numFmtId="0" fontId="9" fillId="13" borderId="0" xfId="0" applyNumberFormat="1" applyFont="1" applyFill="1" applyBorder="1" applyAlignment="1">
      <x:alignment wrapText="1"/>
    </x:xf>
    <x:xf numFmtId="0" fontId="9" fillId="1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/>
    <x:xf numFmtId="0" fontId="10" fillId="14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0" fillId="16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6" fontId="0" fillId="0" borderId="0" xfId="0" applyNumberFormat="1" applyFont="1" applyFill="1" applyBorder="1" applyAlignment="1">
      <x:alignment vertical="center"/>
    </x:xf>
    <x:xf numFmtId="205" fontId="0" fillId="0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/>
    <x:xf numFmtId="0" fontId="11" fillId="17" borderId="0" xfId="0" applyNumberFormat="1" applyFont="1" applyFill="1" applyBorder="1"/>
    <x:xf numFmtId="207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208" fontId="0" fillId="0" borderId="0" xfId="0" applyNumberFormat="1" applyFont="1" applyFill="1" applyBorder="1" applyAlignment="1">
      <x:alignment vertical="center"/>
    </x:xf>
    <x:xf numFmtId="209" fontId="0" fillId="0" borderId="0" xfId="0" applyNumberFormat="1" applyFont="1" applyFill="1" applyBorder="1" applyAlignment="1">
      <x:alignment vertical="center"/>
    </x:xf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9" fillId="18" borderId="0" xfId="0" applyNumberFormat="1" applyFont="1" applyFill="1" applyBorder="1"/>
    <x:xf numFmtId="0" fontId="9" fillId="18" borderId="0" xfId="0" applyNumberFormat="1" applyFont="1" applyFill="1" applyBorder="1" applyAlignment="1">
      <x:alignment wrapText="1"/>
    </x:xf>
    <x:xf numFmtId="0" fontId="9" fillId="18" borderId="0" xfId="0" applyNumberFormat="1" applyFont="1" applyFill="1" applyBorder="1" applyAlignment="1">
      <x:alignment vertical="center" wrapText="1"/>
    </x:xf>
    <x:xf numFmtId="206" fontId="0" fillId="0" borderId="0" xfId="0" applyNumberFormat="1" applyFont="1" applyFill="1" applyBorder="1"/>
    <x:xf numFmtId="21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116849"/>
      </x:font>
      <x:fill>
        <x:patternFill>
          <x:bgColor rgb="FFD9F5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a06efd8e764b74" /><Relationship Type="http://schemas.openxmlformats.org/officeDocument/2006/relationships/theme" Target="/xl/theme/theme1.xml" Id="R5a5f4903f0f04270" /><Relationship Type="http://schemas.openxmlformats.org/officeDocument/2006/relationships/sharedStrings" Target="/xl/sharedStrings.xml" Id="R803d0c84b3034062" /><Relationship Type="http://schemas.openxmlformats.org/officeDocument/2006/relationships/worksheet" Target="/xl/worksheets/sheet1.xml" Id="R2ac8da59d860438a" /><Relationship Type="http://schemas.openxmlformats.org/officeDocument/2006/relationships/worksheet" Target="/xl/worksheets/sheet2.xml" Id="R8adec6b294e64339" /><Relationship Type="http://schemas.openxmlformats.org/officeDocument/2006/relationships/worksheet" Target="/xl/worksheets/sheet3.xml" Id="R26902362c41b433d" /><Relationship Type="http://schemas.openxmlformats.org/officeDocument/2006/relationships/worksheet" Target="/xl/worksheets/sheet4.xml" Id="Rbd3bd5d9fe7348cb" /><Relationship Type="http://schemas.openxmlformats.org/officeDocument/2006/relationships/worksheet" Target="/xl/worksheets/sheet5.xml" Id="Rc40b37d124194315" /><Relationship Type="http://schemas.openxmlformats.org/officeDocument/2006/relationships/worksheet" Target="/xl/worksheets/sheet6.xml" Id="R8f4f36d4aa5d4f36" /><Relationship Type="http://schemas.openxmlformats.org/officeDocument/2006/relationships/worksheet" Target="/xl/worksheets/sheet7.xml" Id="R856c5ff939f54a6b" /><Relationship Type="http://schemas.openxmlformats.org/officeDocument/2006/relationships/worksheet" Target="/xl/worksheets/sheet8.xml" Id="Rd0eb9f60deb84a46" /><Relationship Type="http://schemas.openxmlformats.org/officeDocument/2006/relationships/worksheet" Target="/xl/worksheets/sheet9.xml" Id="R51a3ebd1c8654aca" /><Relationship Type="http://schemas.openxmlformats.org/officeDocument/2006/relationships/worksheet" Target="/xl/worksheets/sheet10.xml" Id="R7c67522c7ed147f8" /><Relationship Type="http://schemas.openxmlformats.org/officeDocument/2006/relationships/worksheet" Target="/xl/worksheets/sheet11.xml" Id="Rb8819d9b92984716" /><Relationship Type="http://schemas.openxmlformats.org/officeDocument/2006/relationships/worksheet" Target="/xl/worksheets/sheet12.xml" Id="Rbbbe813677d84479" /><Relationship Type="http://schemas.openxmlformats.org/officeDocument/2006/relationships/worksheet" Target="/xl/worksheets/sheet13.xml" Id="R5a926dcec0c04e1b" /><Relationship Type="http://schemas.openxmlformats.org/officeDocument/2006/relationships/worksheet" Target="/xl/worksheets/sheet14.xml" Id="R657cfc7604854f5b" /><Relationship Type="http://schemas.openxmlformats.org/officeDocument/2006/relationships/worksheet" Target="/xl/worksheets/sheet15.xml" Id="R3d16309451734f42" /><Relationship Type="http://schemas.openxmlformats.org/officeDocument/2006/relationships/worksheet" Target="/xl/worksheets/sheet16.xml" Id="R5ce42d8403ff45ee" /><Relationship Type="http://schemas.openxmlformats.org/officeDocument/2006/relationships/worksheet" Target="/xl/worksheets/sheet17.xml" Id="Rf3220b84c95b4a87" /><Relationship Type="http://schemas.openxmlformats.org/officeDocument/2006/relationships/worksheet" Target="/xl/worksheets/sheet18.xml" Id="R322b706517794e97" /><Relationship Type="http://schemas.openxmlformats.org/officeDocument/2006/relationships/worksheet" Target="/xl/worksheets/sheet19.xml" Id="R7f03d3fc3b3141a8" /><Relationship Type="http://schemas.openxmlformats.org/officeDocument/2006/relationships/worksheet" Target="/xl/worksheets/sheet20.xml" Id="R7261b0e4091f40c7" /><Relationship Type="http://schemas.openxmlformats.org/officeDocument/2006/relationships/worksheet" Target="/xl/worksheets/sheet21.xml" Id="R75481e57334548b4" /><Relationship Type="http://schemas.openxmlformats.org/officeDocument/2006/relationships/worksheet" Target="/xl/worksheets/sheet22.xml" Id="R3ef43a168cf34460" /><Relationship Type="http://schemas.openxmlformats.org/officeDocument/2006/relationships/worksheet" Target="/xl/worksheets/sheet23.xml" Id="Rf400aeffced64b48" /><Relationship Type="http://schemas.openxmlformats.org/officeDocument/2006/relationships/worksheet" Target="/xl/worksheets/sheet24.xml" Id="R039b2e79b41a40f3" /><Relationship Type="http://schemas.openxmlformats.org/officeDocument/2006/relationships/worksheet" Target="/xl/worksheets/sheet25.xml" Id="R1c36eefe190242f5" /><Relationship Type="http://schemas.openxmlformats.org/officeDocument/2006/relationships/worksheet" Target="/xl/worksheets/sheet26.xml" Id="Rde5d09f0602d4f76" /><Relationship Type="http://schemas.openxmlformats.org/officeDocument/2006/relationships/worksheet" Target="/xl/worksheets/sheet27.xml" Id="R68afadcedb72461f" /><Relationship Type="http://schemas.openxmlformats.org/officeDocument/2006/relationships/worksheet" Target="/xl/worksheets/sheet28.xml" Id="R2ff923892e304507" /><Relationship Type="http://schemas.openxmlformats.org/officeDocument/2006/relationships/worksheet" Target="/xl/worksheets/sheet29.xml" Id="R99d1fd89c3bd44fa" /><Relationship Type="http://schemas.openxmlformats.org/officeDocument/2006/relationships/worksheet" Target="/xl/worksheets/sheet30.xml" Id="Rb41b1800523840eb" /><Relationship Type="http://schemas.openxmlformats.org/officeDocument/2006/relationships/worksheet" Target="/xl/worksheets/sheet31.xml" Id="Rd144972d2b4e4de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6cb72b2b3d4ea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峡江三类养老金两年原始数据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群体</c:v>
          </c:tx>
          <c:cat>
            <c:strRef>
              <c:f>'峡江养老金_复算'!$A$2:$A$7</c:f>
              <c:strCache>
                <c:ptCount val="0"/>
              </c:strCache>
            </c:strRef>
          </c:cat>
          <c:val>
            <c:numRef>
              <c:f>'峡江养老金_复算'!$B$2:$B$7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年末领取人数(人)</c:v>
          </c:tx>
          <c:cat>
            <c:strRef>
              <c:f>'峡江养老金_复算'!$A$2:$A$7</c:f>
              <c:strCache>
                <c:ptCount val="0"/>
              </c:strCache>
            </c:strRef>
          </c:cat>
          <c:val>
            <c:numRef>
              <c:f>'峡江养老金_复算'!$C$2:$C$7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年度待遇金额(万元)</c:v>
          </c:tx>
          <c:cat>
            <c:strRef>
              <c:f>'峡江养老金_复算'!$A$2:$A$7</c:f>
              <c:strCache>
                <c:ptCount val="0"/>
              </c:strCache>
            </c:strRef>
          </c:cat>
          <c:val>
            <c:numRef>
              <c:f>'峡江养老金_复算'!$D$2:$D$7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14</xdr:col>
      <xdr:colOff>0</xdr:colOff>
      <xdr:row>1</xdr:row>
      <xdr:rowOff>0</xdr:rowOff>
    </xdr:from>
    <xdr:to>
      <xdr:col>23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6cb72b2b3d4ea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untyDataset2025" displayName="CountyDataset2025" ref="A1:AB101" headerRowCount="1" totalsRowCount="0" totalsRowShown="0">
  <x:tableColumns count="28">
    <x:tableColumn id="1" name="地级市"/>
    <x:tableColumn id="2" name="县级行政区"/>
    <x:tableColumn id="3" name="行政类型"/>
    <x:tableColumn id="4" name="常住人口_人"/>
    <x:tableColumn id="5" name="城镇常住人口_人"/>
    <x:tableColumn id="6" name="60岁及以上人口_人"/>
    <x:tableColumn id="7" name="65岁及以上人口_人"/>
    <x:tableColumn id="8" name="户籍人口_人"/>
    <x:tableColumn id="9" name="GDP_亿元"/>
    <x:tableColumn id="10" name="城镇新增就业_人"/>
    <x:tableColumn id="11" name="失业人员再就业_人"/>
    <x:tableColumn id="12" name="就业困难人员就业_人"/>
    <x:tableColumn id="13" name="城镇居民人均可支配收入_元"/>
    <x:tableColumn id="14" name="农村居民人均可支配收入_元"/>
    <x:tableColumn id="15" name="企业职工养老参保_人"/>
    <x:tableColumn id="16" name="机关事业养老参保_人"/>
    <x:tableColumn id="17" name="城乡居民养老参保_人"/>
    <x:tableColumn id="18" name="企业离退休待遇人数_人"/>
    <x:tableColumn id="19" name="机关事业退休待遇人数_人"/>
    <x:tableColumn id="20" name="城乡居民养老金领取人数_人"/>
    <x:tableColumn id="21" name="企业离退休养老金发放_万元"/>
    <x:tableColumn id="22" name="机关事业养老金发放_万元"/>
    <x:tableColumn id="23" name="城乡居民养老金发放_万元"/>
    <x:tableColumn id="24" name="人口经济来源URL"/>
    <x:tableColumn id="25" name="就业来源URL"/>
    <x:tableColumn id="26" name="养老数据来源URL"/>
    <x:tableColumn id="27" name="统计备注"/>
    <x:tableColumn id="28" name="有值指标个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nsionComparison2025" displayName="PensionComparison2025" ref="A1:V101" headerRowCount="1" totalsRowCount="0" totalsRowShown="0">
  <x:tableColumns count="22">
    <x:tableColumn id="1" name="地市"/>
    <x:tableColumn id="2" name="区县"/>
    <x:tableColumn id="3" name="类型"/>
    <x:tableColumn id="4" name="企业退休人数_人"/>
    <x:tableColumn id="5" name="机关事业退休人数_人"/>
    <x:tableColumn id="6" name="城乡居民领取人数_人"/>
    <x:tableColumn id="7" name="企业养老金_万元"/>
    <x:tableColumn id="8" name="机关事业养老金_万元"/>
    <x:tableColumn id="9" name="居民养老金_万元"/>
    <x:tableColumn id="10" name="三类发放合计_万元"/>
    <x:tableColumn id="11" name="机关事业金额占比"/>
    <x:tableColumn id="12" name="三类领取人数合计_人"/>
    <x:tableColumn id="13" name="机关事业人数占比"/>
    <x:tableColumn id="14" name="企业人均月待遇_元"/>
    <x:tableColumn id="15" name="机关人均月待遇_元"/>
    <x:tableColumn id="16" name="居民人均月待遇_元"/>
    <x:tableColumn id="17" name="机关/企业月待遇倍数"/>
    <x:tableColumn id="18" name="机关/居民月待遇倍数"/>
    <x:tableColumn id="19" name="是否具备金额三项"/>
    <x:tableColumn id="20" name="是否具备人数三项"/>
    <x:tableColumn id="21" name="养老原始来源URL"/>
    <x:tableColumn id="22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Housing2025" displayName="CityHousing2025" ref="A1:Q13" headerRowCount="1" totalsRowCount="0" totalsRowShown="0">
  <x:tableColumns count="17">
    <x:tableColumn id="1" name="地级市"/>
    <x:tableColumn id="2" name="实缴单位_万家"/>
    <x:tableColumn id="3" name="实缴人数_万人"/>
    <x:tableColumn id="4" name="缴存额_亿元"/>
    <x:tableColumn id="5" name="提取额_亿元"/>
    <x:tableColumn id="6" name="提取率_%"/>
    <x:tableColumn id="7" name="住房消费提取_亿元"/>
    <x:tableColumn id="8" name="非住房消费提取_亿元"/>
    <x:tableColumn id="9" name="个人住房贷款_万笔"/>
    <x:tableColumn id="10" name="发放贷款_亿元"/>
    <x:tableColumn id="11" name="贷款余额_亿元"/>
    <x:tableColumn id="12" name="个贷率_%"/>
    <x:tableColumn id="13" name="缴存额每人年均_元(计算)"/>
    <x:tableColumn id="14" name="人均月缴存_元(计算)"/>
    <x:tableColumn id="15" name="对应行政层级"/>
    <x:tableColumn id="16" name="来源URL"/>
    <x:tableColumn id="17" name="口径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cialFund2025" displayName="SocialFund2025" ref="A1:J3" headerRowCount="1" totalsRowCount="0" totalsRowShown="0">
  <x:tableColumns count="10">
    <x:tableColumn id="1" name="地级市"/>
    <x:tableColumn id="2" name="县区"/>
    <x:tableColumn id="3" name="2025年城乡居民基本养老保险基金支出_万元"/>
    <x:tableColumn id="4" name="2025年机关事业单位基本养老保险基金支出_万元"/>
    <x:tableColumn id="5" name="两项合计_万元(计算)"/>
    <x:tableColumn id="6" name="企业职工养老基金支出_万元"/>
    <x:tableColumn id="7" name="资料性质"/>
    <x:tableColumn id="8" name="支出可否当养老金发放额"/>
    <x:tableColumn id="9" name="原始文件/页面URL"/>
    <x:tableColumn id="10" name="核验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vinceIndicators2025" displayName="ProvinceIndicators2025" ref="A1:G13" headerRowCount="1" totalsRowCount="0" totalsRowShown="0">
  <x:tableColumns count="7">
    <x:tableColumn id="1" name="指标"/>
    <x:tableColumn id="2" name="时点/期间"/>
    <x:tableColumn id="3" name="数值"/>
    <x:tableColumn id="4" name="单位"/>
    <x:tableColumn id="5" name="材料名称"/>
    <x:tableColumn id="6" name="URL"/>
    <x:tableColumn id="7" name="说明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Evidence2025" displayName="MetricEvidence2025" ref="A1:L268" headerRowCount="1" totalsRowCount="0" totalsRowShown="0">
  <x:tableColumns count="12">
    <x:tableColumn id="1" name="年份"/>
    <x:tableColumn id="2" name="统计层级"/>
    <x:tableColumn id="3" name="地级市"/>
    <x:tableColumn id="4" name="地区"/>
    <x:tableColumn id="5" name="指标主题"/>
    <x:tableColumn id="6" name="指标名称"/>
    <x:tableColumn id="7" name="原始/统一数值"/>
    <x:tableColumn id="8" name="单位"/>
    <x:tableColumn id="9" name="来源级别"/>
    <x:tableColumn id="10" name="统计时点或口径"/>
    <x:tableColumn id="11" name="来源URL"/>
    <x:tableColumn id="12" name="口径备注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8" name="DataDictionary2025" displayName="DataDictionary2025" ref="A1:B22" headerRowCount="1" totalsRowCount="0" totalsRowShown="0">
  <x:tableColumns count="2">
    <x:tableColumn id="1" name="指标/事项"/>
    <x:tableColumn id="2" name="定义与审计说明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CollectionTracker2025" displayName="CollectionTracker2025" ref="A1:H101" headerRowCount="1" totalsRowCount="0" totalsRowShown="0">
  <x:tableColumns count="8">
    <x:tableColumn id="1" name="地级市"/>
    <x:tableColumn id="2" name="县区"/>
    <x:tableColumn id="3" name="行政类型"/>
    <x:tableColumn id="4" name="已收集的2025指标数"/>
    <x:tableColumn id="5" name="进度状态"/>
    <x:tableColumn id="6" name="下一步重点"/>
    <x:tableColumn id="7" name="建议检索词"/>
    <x:tableColumn id="8" name="来源登记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8de25dd4bb499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9b1a6ff7e9b46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c088a7613a4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222e66255a442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5455de01b1f45f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67f9453563454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81d22657a0848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b0f7d85774c434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1.xml" Id="Rf90efc772503448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1" hidden="0" customWidth="1"/>
    <x:col min="4" max="4" width="15" hidden="0" customWidth="1"/>
    <x:col min="5" max="5" width="17" hidden="0" customWidth="1"/>
    <x:col min="6" max="6" width="20" hidden="0" customWidth="1"/>
    <x:col min="7" max="7" width="20" hidden="0" customWidth="1"/>
    <x:col min="8" max="8" width="17" hidden="0" customWidth="1"/>
    <x:col min="9" max="9" width="14" hidden="0" customWidth="1"/>
    <x:col min="10" max="10" width="17" hidden="0" customWidth="1"/>
    <x:col min="11" max="11" width="18" hidden="0" customWidth="1"/>
    <x:col min="12" max="12" width="19" hidden="0" customWidth="1"/>
    <x:col min="13" max="13" width="24" hidden="0" customWidth="1"/>
    <x:col min="14" max="14" width="24" hidden="0" customWidth="1"/>
    <x:col min="15" max="15" width="19" hidden="0" customWidth="1"/>
    <x:col min="16" max="16" width="19" hidden="0" customWidth="1"/>
    <x:col min="17" max="17" width="21" hidden="0" customWidth="1"/>
    <x:col min="18" max="18" width="21" hidden="0" customWidth="1"/>
    <x:col min="19" max="19" width="22" hidden="0" customWidth="1"/>
    <x:col min="20" max="20" width="23" hidden="0" customWidth="1"/>
    <x:col min="21" max="21" width="25" hidden="0" customWidth="1"/>
    <x:col min="22" max="22" width="26" hidden="0" customWidth="1"/>
    <x:col min="23" max="23" width="25" hidden="0" customWidth="1"/>
    <x:col min="24" max="24" width="36" hidden="0" customWidth="1"/>
    <x:col min="25" max="25" width="36" hidden="0" customWidth="1"/>
    <x:col min="26" max="26" width="36" hidden="0" customWidth="1"/>
    <x:col min="27" max="27" width="47" hidden="0" customWidth="1"/>
    <x:col min="28" max="28" width="16" hidden="0" customWidth="1"/>
  </x:cols>
  <x:sheetData>
    <x:row r="1" ht="32" customHeight="1">
      <x:c r="A1" s="6" t="str">
        <x:v>地级市</x:v>
      </x:c>
      <x:c r="B1" s="6" t="str">
        <x:v>县级行政区</x:v>
      </x:c>
      <x:c r="C1" s="6" t="str">
        <x:v>行政类型</x:v>
      </x:c>
      <x:c r="D1" s="6" t="str">
        <x:v>常住人口_人</x:v>
      </x:c>
      <x:c r="E1" s="6" t="str">
        <x:v>城镇常住人口_人</x:v>
      </x:c>
      <x:c r="F1" s="6" t="str">
        <x:v>60岁及以上人口_人</x:v>
      </x:c>
      <x:c r="G1" s="6" t="str">
        <x:v>65岁及以上人口_人</x:v>
      </x:c>
      <x:c r="H1" s="6" t="str">
        <x:v>户籍人口_人</x:v>
      </x:c>
      <x:c r="I1" s="6" t="str">
        <x:v>GDP_亿元</x:v>
      </x:c>
      <x:c r="J1" s="6" t="str">
        <x:v>城镇新增就业_人</x:v>
      </x:c>
      <x:c r="K1" s="6" t="str">
        <x:v>失业人员再就业_人</x:v>
      </x:c>
      <x:c r="L1" s="6" t="str">
        <x:v>就业困难人员就业_人</x:v>
      </x:c>
      <x:c r="M1" s="6" t="str">
        <x:v>城镇居民人均可支配收入_元</x:v>
      </x:c>
      <x:c r="N1" s="6" t="str">
        <x:v>农村居民人均可支配收入_元</x:v>
      </x:c>
      <x:c r="O1" s="6" t="str">
        <x:v>企业职工养老参保_人</x:v>
      </x:c>
      <x:c r="P1" s="6" t="str">
        <x:v>机关事业养老参保_人</x:v>
      </x:c>
      <x:c r="Q1" s="6" t="str">
        <x:v>城乡居民养老参保_人</x:v>
      </x:c>
      <x:c r="R1" s="6" t="str">
        <x:v>企业离退休待遇人数_人</x:v>
      </x:c>
      <x:c r="S1" s="6" t="str">
        <x:v>机关事业退休待遇人数_人</x:v>
      </x:c>
      <x:c r="T1" s="6" t="str">
        <x:v>城乡居民养老金领取人数_人</x:v>
      </x:c>
      <x:c r="U1" s="6" t="str">
        <x:v>企业离退休养老金发放_万元</x:v>
      </x:c>
      <x:c r="V1" s="6" t="str">
        <x:v>机关事业养老金发放_万元</x:v>
      </x:c>
      <x:c r="W1" s="6" t="str">
        <x:v>城乡居民养老金发放_万元</x:v>
      </x:c>
      <x:c r="X1" s="6" t="str">
        <x:v>人口经济来源URL</x:v>
      </x:c>
      <x:c r="Y1" s="6" t="str">
        <x:v>就业来源URL</x:v>
      </x:c>
      <x:c r="Z1" s="6" t="str">
        <x:v>养老数据来源URL</x:v>
      </x:c>
      <x:c r="AA1" s="6" t="str">
        <x:v>统计备注</x:v>
      </x:c>
      <x:c r="AB1" s="6" t="str">
        <x:v>有值指标个数</x:v>
      </x:c>
    </x:row>
    <x:row r="2" ht="21" customHeight="1">
      <x:c r="A2" t="str">
        <x:v>南昌市</x:v>
      </x:c>
      <x:c r="B2" t="str">
        <x:v>东湖区</x:v>
      </x:c>
      <x:c r="C2" t="str">
        <x:v>区</x:v>
      </x:c>
      <x:c r="D2" s="12"/>
      <x:c r="E2" s="12"/>
      <x:c r="F2" s="12"/>
      <x:c r="G2" s="12"/>
      <x:c r="H2" s="12"/>
      <x:c r="I2" s="14"/>
      <x:c r="J2" s="16"/>
      <x:c r="K2" s="16"/>
      <x:c r="L2" s="16"/>
      <x:c r="M2" s="16"/>
      <x:c r="N2" s="16"/>
      <x:c r="O2" s="16"/>
      <x:c r="P2" s="16"/>
      <x:c r="Q2" s="16"/>
      <x:c r="R2" s="16"/>
      <x:c r="S2" s="16"/>
      <x:c r="T2" s="16"/>
      <x:c r="U2" s="16"/>
      <x:c r="V2" s="16"/>
      <x:c r="W2" s="16"/>
      <x:c r="X2" t="str"/>
      <x:c r="Y2" t="str"/>
      <x:c r="Z2" t="str"/>
      <x:c r="AA2" t="str">
        <x:v>2025年该区县公开指标尚未录入；空值不代表零。</x:v>
      </x:c>
      <x:c r="AB2" t="n">
        <x:f>COUNT(D2:W2)</x:f>
        <x:v>0</x:v>
      </x:c>
    </x:row>
    <x:row r="3" ht="21" customHeight="1">
      <x:c r="A3" t="str">
        <x:v>南昌市</x:v>
      </x:c>
      <x:c r="B3" t="str">
        <x:v>西湖区</x:v>
      </x:c>
      <x:c r="C3" t="str">
        <x:v>区</x:v>
      </x:c>
      <x:c r="D3" s="12"/>
      <x:c r="E3" s="12"/>
      <x:c r="F3" s="12"/>
      <x:c r="G3" s="12"/>
      <x:c r="H3" s="12"/>
      <x:c r="I3" s="14"/>
      <x:c r="J3" s="16"/>
      <x:c r="K3" s="16"/>
      <x:c r="L3" s="16"/>
      <x:c r="M3" s="16"/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t="str"/>
      <x:c r="Y3" t="str"/>
      <x:c r="Z3" t="str"/>
      <x:c r="AA3" t="str">
        <x:v>2025年该区县公开指标尚未录入；空值不代表零。</x:v>
      </x:c>
      <x:c r="AB3" t="n">
        <x:f>COUNT(D3:W3)</x:f>
        <x:v>0</x:v>
      </x:c>
    </x:row>
    <x:row r="4" ht="21" customHeight="1">
      <x:c r="A4" t="str">
        <x:v>南昌市</x:v>
      </x:c>
      <x:c r="B4" t="str">
        <x:v>青云谱区</x:v>
      </x:c>
      <x:c r="C4" t="str">
        <x:v>区</x:v>
      </x:c>
      <x:c r="D4" s="12"/>
      <x:c r="E4" s="12"/>
      <x:c r="F4" s="12"/>
      <x:c r="G4" s="12"/>
      <x:c r="H4" s="12"/>
      <x:c r="I4" s="14"/>
      <x:c r="J4" s="16"/>
      <x:c r="K4" s="16"/>
      <x:c r="L4" s="16"/>
      <x:c r="M4" s="16"/>
      <x:c r="N4" s="16"/>
      <x:c r="O4" s="16"/>
      <x:c r="P4" s="16"/>
      <x:c r="Q4" s="16"/>
      <x:c r="R4" s="16"/>
      <x:c r="S4" s="16"/>
      <x:c r="T4" s="16"/>
      <x:c r="U4" s="16"/>
      <x:c r="V4" s="16"/>
      <x:c r="W4" s="16"/>
      <x:c r="X4" t="str"/>
      <x:c r="Y4" t="str"/>
      <x:c r="Z4" t="str"/>
      <x:c r="AA4" t="str">
        <x:v>2025年该区县公开指标尚未录入；空值不代表零。</x:v>
      </x:c>
      <x:c r="AB4" t="n">
        <x:f>COUNT(D4:W4)</x:f>
        <x:v>0</x:v>
      </x:c>
    </x:row>
    <x:row r="5" ht="21" customHeight="1">
      <x:c r="A5" t="str">
        <x:v>南昌市</x:v>
      </x:c>
      <x:c r="B5" t="str">
        <x:v>青山湖区</x:v>
      </x:c>
      <x:c r="C5" t="str">
        <x:v>区</x:v>
      </x:c>
      <x:c r="D5" s="12"/>
      <x:c r="E5" s="12"/>
      <x:c r="F5" s="12"/>
      <x:c r="G5" s="12"/>
      <x:c r="H5" s="12"/>
      <x:c r="I5" s="14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6"/>
      <x:c r="U5" s="16"/>
      <x:c r="V5" s="16"/>
      <x:c r="W5" s="16"/>
      <x:c r="X5" t="str"/>
      <x:c r="Y5" t="str"/>
      <x:c r="Z5" t="str"/>
      <x:c r="AA5" t="str">
        <x:v>2025年该区县公开指标尚未录入；空值不代表零。</x:v>
      </x:c>
      <x:c r="AB5" t="n">
        <x:f>COUNT(D5:W5)</x:f>
        <x:v>0</x:v>
      </x:c>
    </x:row>
    <x:row r="6" ht="21" customHeight="1">
      <x:c r="A6" t="str">
        <x:v>南昌市</x:v>
      </x:c>
      <x:c r="B6" t="str">
        <x:v>新建区</x:v>
      </x:c>
      <x:c r="C6" t="str">
        <x:v>区</x:v>
      </x:c>
      <x:c r="D6" s="12"/>
      <x:c r="E6" s="12"/>
      <x:c r="F6" s="12"/>
      <x:c r="G6" s="12"/>
      <x:c r="H6" s="12"/>
      <x:c r="I6" s="14"/>
      <x:c r="J6" s="16"/>
      <x:c r="K6" s="16"/>
      <x:c r="L6" s="16"/>
      <x:c r="M6" s="16"/>
      <x:c r="N6" s="16"/>
      <x:c r="O6" s="16"/>
      <x:c r="P6" s="16"/>
      <x:c r="Q6" s="16"/>
      <x:c r="R6" s="16"/>
      <x:c r="S6" s="16"/>
      <x:c r="T6" s="16"/>
      <x:c r="U6" s="16"/>
      <x:c r="V6" s="16"/>
      <x:c r="W6" s="16"/>
      <x:c r="X6" t="str"/>
      <x:c r="Y6" t="str"/>
      <x:c r="Z6" t="str"/>
      <x:c r="AA6" t="str">
        <x:v>2025年该区县公开指标尚未录入；空值不代表零。</x:v>
      </x:c>
      <x:c r="AB6" t="n">
        <x:f>COUNT(D6:W6)</x:f>
        <x:v>0</x:v>
      </x:c>
    </x:row>
    <x:row r="7" ht="21" customHeight="1">
      <x:c r="A7" t="str">
        <x:v>南昌市</x:v>
      </x:c>
      <x:c r="B7" t="str">
        <x:v>红谷滩区</x:v>
      </x:c>
      <x:c r="C7" t="str">
        <x:v>区</x:v>
      </x:c>
      <x:c r="D7" s="12"/>
      <x:c r="E7" s="12"/>
      <x:c r="F7" s="12"/>
      <x:c r="G7" s="12"/>
      <x:c r="H7" s="12"/>
      <x:c r="I7" s="14"/>
      <x:c r="J7" s="16"/>
      <x:c r="K7" s="16"/>
      <x:c r="L7" s="16"/>
      <x:c r="M7" s="16"/>
      <x:c r="N7" s="16"/>
      <x:c r="O7" s="16"/>
      <x:c r="P7" s="16"/>
      <x:c r="Q7" s="16"/>
      <x:c r="R7" s="16"/>
      <x:c r="S7" s="16"/>
      <x:c r="T7" s="16"/>
      <x:c r="U7" s="16"/>
      <x:c r="V7" s="16"/>
      <x:c r="W7" s="16"/>
      <x:c r="X7" t="str"/>
      <x:c r="Y7" t="str"/>
      <x:c r="Z7" t="str"/>
      <x:c r="AA7" t="str">
        <x:v>2025年该区县公开指标尚未录入；空值不代表零。</x:v>
      </x:c>
      <x:c r="AB7" t="n">
        <x:f>COUNT(D7:W7)</x:f>
        <x:v>0</x:v>
      </x:c>
    </x:row>
    <x:row r="8" ht="21" customHeight="1">
      <x:c r="A8" t="str">
        <x:v>南昌市</x:v>
      </x:c>
      <x:c r="B8" t="str">
        <x:v>南昌县</x:v>
      </x:c>
      <x:c r="C8" t="str">
        <x:v>县</x:v>
      </x:c>
      <x:c r="D8" s="12"/>
      <x:c r="E8" s="12"/>
      <x:c r="F8" s="12"/>
      <x:c r="G8" s="12"/>
      <x:c r="H8" s="12" t="n">
        <x:v>1077976</x:v>
      </x:c>
      <x:c r="I8" s="14" t="n">
        <x:v>1461.21</x:v>
      </x:c>
      <x:c r="J8" s="16" t="n">
        <x:v>6919</x:v>
      </x:c>
      <x:c r="K8" s="16"/>
      <x:c r="L8" s="16"/>
      <x:c r="M8" s="16" t="n">
        <x:v>55125</x:v>
      </x:c>
      <x:c r="N8" s="16" t="n">
        <x:v>32141</x:v>
      </x:c>
      <x:c r="O8" s="16"/>
      <x:c r="P8" s="16"/>
      <x:c r="Q8" s="16"/>
      <x:c r="R8" s="16"/>
      <x:c r="S8" s="16"/>
      <x:c r="T8" s="16"/>
      <x:c r="U8" s="16"/>
      <x:c r="V8" s="16"/>
      <x:c r="W8" s="16"/>
      <x:c r="X8" t="str">
        <x:v>https://ncx.nc.gov.cn/ncxrmzf/tjgb01h/202604/fd1aa6251dbf45ef8737d4553710064f.shtml</x:v>
      </x:c>
      <x:c r="Y8" t="str">
        <x:v>https://ncx.nc.gov.cn/ncxrmzf/tjgb01h/202604/fd1aa6251dbf45ef8737d4553710064f.shtml</x:v>
      </x:c>
      <x:c r="Z8" t="str">
        <x:v>https://ncx.nc.gov.cn/ncxrmzf/tjgb01h/202604/fd1aa6251dbf45ef8737d4553710064f.shtml</x:v>
      </x:c>
      <x:c r="AA8" t="str"/>
      <x:c r="AB8" t="n">
        <x:f>COUNT(D8:W8)</x:f>
        <x:v>5</x:v>
      </x:c>
    </x:row>
    <x:row r="9" ht="21" customHeight="1">
      <x:c r="A9" t="str">
        <x:v>南昌市</x:v>
      </x:c>
      <x:c r="B9" t="str">
        <x:v>安义县</x:v>
      </x:c>
      <x:c r="C9" t="str">
        <x:v>县</x:v>
      </x:c>
      <x:c r="D9" s="12"/>
      <x:c r="E9" s="12"/>
      <x:c r="F9" s="12"/>
      <x:c r="G9" s="12"/>
      <x:c r="H9" s="12"/>
      <x:c r="I9" s="14"/>
      <x:c r="J9" s="16"/>
      <x:c r="K9" s="16"/>
      <x:c r="L9" s="16"/>
      <x:c r="M9" s="16"/>
      <x:c r="N9" s="16"/>
      <x:c r="O9" s="16"/>
      <x:c r="P9" s="16"/>
      <x:c r="Q9" s="16"/>
      <x:c r="R9" s="16"/>
      <x:c r="S9" s="16"/>
      <x:c r="T9" s="16"/>
      <x:c r="U9" s="16"/>
      <x:c r="V9" s="16"/>
      <x:c r="W9" s="16"/>
      <x:c r="X9" t="str"/>
      <x:c r="Y9" t="str"/>
      <x:c r="Z9" t="str"/>
      <x:c r="AA9" t="str">
        <x:v>2025年该区县公开指标尚未录入；空值不代表零。</x:v>
      </x:c>
      <x:c r="AB9" t="n">
        <x:f>COUNT(D9:W9)</x:f>
        <x:v>0</x:v>
      </x:c>
    </x:row>
    <x:row r="10" ht="21" customHeight="1">
      <x:c r="A10" t="str">
        <x:v>南昌市</x:v>
      </x:c>
      <x:c r="B10" t="str">
        <x:v>进贤县</x:v>
      </x:c>
      <x:c r="C10" t="str">
        <x:v>县</x:v>
      </x:c>
      <x:c r="D10" s="12" t="n">
        <x:v>635000</x:v>
      </x:c>
      <x:c r="E10" s="12" t="n">
        <x:v>342000</x:v>
      </x:c>
      <x:c r="F10" s="12"/>
      <x:c r="G10" s="12"/>
      <x:c r="H10" s="12" t="n">
        <x:v>822100</x:v>
      </x:c>
      <x:c r="I10" s="14" t="n">
        <x:v>402.22</x:v>
      </x:c>
      <x:c r="J10" s="16"/>
      <x:c r="K10" s="16"/>
      <x:c r="L10" s="16"/>
      <x:c r="M10" s="16" t="n">
        <x:v>50409</x:v>
      </x:c>
      <x:c r="N10" s="16" t="n">
        <x:v>29619</x:v>
      </x:c>
      <x:c r="O10" s="16"/>
      <x:c r="P10" s="16"/>
      <x:c r="Q10" s="16"/>
      <x:c r="R10" s="16"/>
      <x:c r="S10" s="16"/>
      <x:c r="T10" s="16"/>
      <x:c r="U10" s="16"/>
      <x:c r="V10" s="16"/>
      <x:c r="W10" s="16"/>
      <x:c r="X10" t="str">
        <x:v>https://tjgb.hongheiku.com/xjtjgb/xj2020/80003.html</x:v>
      </x:c>
      <x:c r="Y10" t="str">
        <x:v>https://tjgb.hongheiku.com/xjtjgb/xj2020/80003.html</x:v>
      </x:c>
      <x:c r="Z10" t="str">
        <x:v>https://tjgb.hongheiku.com/xjtjgb/xj2020/80003.html</x:v>
      </x:c>
      <x:c r="AA10" t="str"/>
      <x:c r="AB10" t="n">
        <x:f>COUNT(D10:W10)</x:f>
        <x:v>6</x:v>
      </x:c>
    </x:row>
    <x:row r="11" ht="21" customHeight="1">
      <x:c r="A11" t="str">
        <x:v>景德镇市</x:v>
      </x:c>
      <x:c r="B11" t="str">
        <x:v>昌江区</x:v>
      </x:c>
      <x:c r="C11" t="str">
        <x:v>区</x:v>
      </x:c>
      <x:c r="D11" s="12"/>
      <x:c r="E11" s="12"/>
      <x:c r="F11" s="12"/>
      <x:c r="G11" s="12"/>
      <x:c r="H11" s="12"/>
      <x:c r="I11" s="14"/>
      <x:c r="J11" s="16"/>
      <x:c r="K11" s="16"/>
      <x:c r="L11" s="16"/>
      <x:c r="M11" s="16"/>
      <x:c r="N11" s="16"/>
      <x:c r="O11" s="16"/>
      <x:c r="P11" s="16"/>
      <x:c r="Q11" s="16"/>
      <x:c r="R11" s="16"/>
      <x:c r="S11" s="16"/>
      <x:c r="T11" s="16"/>
      <x:c r="U11" s="16"/>
      <x:c r="V11" s="16"/>
      <x:c r="W11" s="16"/>
      <x:c r="X11" t="str"/>
      <x:c r="Y11" t="str"/>
      <x:c r="Z11" t="str"/>
      <x:c r="AA11" t="str">
        <x:v>2025年该区县公开指标尚未录入；空值不代表零。</x:v>
      </x:c>
      <x:c r="AB11" t="n">
        <x:f>COUNT(D11:W11)</x:f>
        <x:v>0</x:v>
      </x:c>
    </x:row>
    <x:row r="12" ht="21" customHeight="1">
      <x:c r="A12" t="str">
        <x:v>景德镇市</x:v>
      </x:c>
      <x:c r="B12" t="str">
        <x:v>珠山区</x:v>
      </x:c>
      <x:c r="C12" t="str">
        <x:v>区</x:v>
      </x:c>
      <x:c r="D12" s="12"/>
      <x:c r="E12" s="12"/>
      <x:c r="F12" s="12"/>
      <x:c r="G12" s="12"/>
      <x:c r="H12" s="12"/>
      <x:c r="I12" s="14"/>
      <x:c r="J12" s="16"/>
      <x:c r="K12" s="16"/>
      <x:c r="L12" s="16"/>
      <x:c r="M12" s="16"/>
      <x:c r="N12" s="16"/>
      <x:c r="O12" s="16"/>
      <x:c r="P12" s="16"/>
      <x:c r="Q12" s="16"/>
      <x:c r="R12" s="16"/>
      <x:c r="S12" s="16"/>
      <x:c r="T12" s="16"/>
      <x:c r="U12" s="16"/>
      <x:c r="V12" s="16"/>
      <x:c r="W12" s="16"/>
      <x:c r="X12" t="str"/>
      <x:c r="Y12" t="str"/>
      <x:c r="Z12" t="str"/>
      <x:c r="AA12" t="str">
        <x:v>2025年该区县公开指标尚未录入；空值不代表零。</x:v>
      </x:c>
      <x:c r="AB12" t="n">
        <x:f>COUNT(D12:W12)</x:f>
        <x:v>0</x:v>
      </x:c>
    </x:row>
    <x:row r="13" ht="21" customHeight="1">
      <x:c r="A13" t="str">
        <x:v>景德镇市</x:v>
      </x:c>
      <x:c r="B13" t="str">
        <x:v>乐平市</x:v>
      </x:c>
      <x:c r="C13" t="str">
        <x:v>县级市</x:v>
      </x:c>
      <x:c r="D13" s="12"/>
      <x:c r="E13" s="12"/>
      <x:c r="F13" s="12"/>
      <x:c r="G13" s="12"/>
      <x:c r="H13" s="12"/>
      <x:c r="I13" s="14"/>
      <x:c r="J13" s="16"/>
      <x:c r="K13" s="16"/>
      <x:c r="L13" s="16"/>
      <x:c r="M13" s="16"/>
      <x:c r="N13" s="16"/>
      <x:c r="O13" s="16"/>
      <x:c r="P13" s="16"/>
      <x:c r="Q13" s="16"/>
      <x:c r="R13" s="16"/>
      <x:c r="S13" s="16"/>
      <x:c r="T13" s="16"/>
      <x:c r="U13" s="16"/>
      <x:c r="V13" s="16"/>
      <x:c r="W13" s="16"/>
      <x:c r="X13" t="str"/>
      <x:c r="Y13" t="str"/>
      <x:c r="Z13" t="str"/>
      <x:c r="AA13" t="str">
        <x:v>2025年该区县公开指标尚未录入；空值不代表零。</x:v>
      </x:c>
      <x:c r="AB13" t="n">
        <x:f>COUNT(D13:W13)</x:f>
        <x:v>0</x:v>
      </x:c>
    </x:row>
    <x:row r="14" ht="21" customHeight="1">
      <x:c r="A14" t="str">
        <x:v>景德镇市</x:v>
      </x:c>
      <x:c r="B14" t="str">
        <x:v>浮梁县</x:v>
      </x:c>
      <x:c r="C14" t="str">
        <x:v>县</x:v>
      </x:c>
      <x:c r="D14" s="12" t="n">
        <x:v>275868</x:v>
      </x:c>
      <x:c r="E14" s="12" t="n">
        <x:v>186465</x:v>
      </x:c>
      <x:c r="F14" s="12" t="n">
        <x:v>56133</x:v>
      </x:c>
      <x:c r="G14" s="12" t="n">
        <x:v>36788</x:v>
      </x:c>
      <x:c r="H14" s="12"/>
      <x:c r="I14" s="14" t="n">
        <x:v>191.31</x:v>
      </x:c>
      <x:c r="J14" s="16" t="n">
        <x:v>2954</x:v>
      </x:c>
      <x:c r="K14" s="16" t="n">
        <x:v>1365</x:v>
      </x:c>
      <x:c r="L14" s="16" t="n">
        <x:v>435</x:v>
      </x:c>
      <x:c r="M14" s="16"/>
      <x:c r="N14" s="16"/>
      <x:c r="O14" s="16"/>
      <x:c r="P14" s="16"/>
      <x:c r="Q14" s="16"/>
      <x:c r="R14" s="16"/>
      <x:c r="S14" s="16"/>
      <x:c r="T14" s="16"/>
      <x:c r="U14" s="16"/>
      <x:c r="V14" s="16"/>
      <x:c r="W14" s="16"/>
      <x:c r="X14" t="str">
        <x:v>https://www.fuliang.gov.cn/zjfl/</x:v>
      </x:c>
      <x:c r="Y14" t="str">
        <x:v>https://www.fuliang.gov.cn/zjfl/</x:v>
      </x:c>
      <x:c r="Z14" t="str">
        <x:v>https://www.fuliang.gov.cn/zjfl/</x:v>
      </x:c>
      <x:c r="AA14" t="str"/>
      <x:c r="AB14" t="n">
        <x:f>COUNT(D14:W14)</x:f>
        <x:v>8</x:v>
      </x:c>
    </x:row>
    <x:row r="15" ht="21" customHeight="1">
      <x:c r="A15" t="str">
        <x:v>萍乡市</x:v>
      </x:c>
      <x:c r="B15" t="str">
        <x:v>安源区</x:v>
      </x:c>
      <x:c r="C15" t="str">
        <x:v>区</x:v>
      </x:c>
      <x:c r="D15" s="12"/>
      <x:c r="E15" s="12"/>
      <x:c r="F15" s="12"/>
      <x:c r="G15" s="12"/>
      <x:c r="H15" s="12"/>
      <x:c r="I15" s="14"/>
      <x:c r="J15" s="16"/>
      <x:c r="K15" s="16"/>
      <x:c r="L15" s="16"/>
      <x:c r="M15" s="16"/>
      <x:c r="N15" s="16"/>
      <x:c r="O15" s="16"/>
      <x:c r="P15" s="16"/>
      <x:c r="Q15" s="16"/>
      <x:c r="R15" s="16"/>
      <x:c r="S15" s="16"/>
      <x:c r="T15" s="16"/>
      <x:c r="U15" s="16"/>
      <x:c r="V15" s="16"/>
      <x:c r="W15" s="16"/>
      <x:c r="X15" t="str"/>
      <x:c r="Y15" t="str"/>
      <x:c r="Z15" t="str"/>
      <x:c r="AA15" t="str">
        <x:v>2025年该区县公开指标尚未录入；空值不代表零。</x:v>
      </x:c>
      <x:c r="AB15" t="n">
        <x:f>COUNT(D15:W15)</x:f>
        <x:v>0</x:v>
      </x:c>
    </x:row>
    <x:row r="16" ht="21" customHeight="1">
      <x:c r="A16" t="str">
        <x:v>萍乡市</x:v>
      </x:c>
      <x:c r="B16" t="str">
        <x:v>湘东区</x:v>
      </x:c>
      <x:c r="C16" t="str">
        <x:v>区</x:v>
      </x:c>
      <x:c r="D16" s="12"/>
      <x:c r="E16" s="12"/>
      <x:c r="F16" s="12"/>
      <x:c r="G16" s="12"/>
      <x:c r="H16" s="12"/>
      <x:c r="I16" s="14"/>
      <x:c r="J16" s="16" t="n">
        <x:v>2678</x:v>
      </x:c>
      <x:c r="K16" s="16"/>
      <x:c r="L16" s="16"/>
      <x:c r="M16" s="16" t="n">
        <x:v>51528</x:v>
      </x:c>
      <x:c r="N16" s="16" t="n">
        <x:v>29410</x:v>
      </x:c>
      <x:c r="O16" s="16" t="n">
        <x:v>88669</x:v>
      </x:c>
      <x:c r="P16" s="16" t="n">
        <x:v>10270</x:v>
      </x:c>
      <x:c r="Q16" s="16" t="n">
        <x:v>134932</x:v>
      </x:c>
      <x:c r="R16" s="16" t="n">
        <x:v>31160</x:v>
      </x:c>
      <x:c r="S16" s="16" t="n">
        <x:v>3729</x:v>
      </x:c>
      <x:c r="T16" s="16" t="n">
        <x:v>53799</x:v>
      </x:c>
      <x:c r="U16" s="16"/>
      <x:c r="V16" s="16"/>
      <x:c r="W16" s="16"/>
      <x:c r="X16" t="str">
        <x:v>https://tjgb.hongheiku.com/xjtjgb/xj2020/77691.html</x:v>
      </x:c>
      <x:c r="Y16" t="str">
        <x:v>https://tjgb.hongheiku.com/xjtjgb/xj2020/77691.html</x:v>
      </x:c>
      <x:c r="Z16" t="str">
        <x:v>https://tjgb.hongheiku.com/xjtjgb/xj2020/77691.html</x:v>
      </x:c>
      <x:c r="AA16" t="str">
        <x:v>三类养老参保人数均含该制度中相关待遇领取人员；不能与仅在职参保口径直接比较。</x:v>
      </x:c>
      <x:c r="AB16" t="n">
        <x:f>COUNT(D16:W16)</x:f>
        <x:v>9</x:v>
      </x:c>
    </x:row>
    <x:row r="17" ht="21" customHeight="1">
      <x:c r="A17" t="str">
        <x:v>萍乡市</x:v>
      </x:c>
      <x:c r="B17" t="str">
        <x:v>莲花县</x:v>
      </x:c>
      <x:c r="C17" t="str">
        <x:v>县</x:v>
      </x:c>
      <x:c r="D17" s="12"/>
      <x:c r="E17" s="12"/>
      <x:c r="F17" s="12"/>
      <x:c r="G17" s="12"/>
      <x:c r="H17" s="12"/>
      <x:c r="I17" s="14"/>
      <x:c r="J17" s="16"/>
      <x:c r="K17" s="16"/>
      <x:c r="L17" s="16"/>
      <x:c r="M17" s="16"/>
      <x:c r="N17" s="16"/>
      <x:c r="O17" s="16"/>
      <x:c r="P17" s="16"/>
      <x:c r="Q17" s="16"/>
      <x:c r="R17" s="16"/>
      <x:c r="S17" s="16"/>
      <x:c r="T17" s="16"/>
      <x:c r="U17" s="16"/>
      <x:c r="V17" s="16"/>
      <x:c r="W17" s="16"/>
      <x:c r="X17" t="str"/>
      <x:c r="Y17" t="str"/>
      <x:c r="Z17" t="str"/>
      <x:c r="AA17" t="str">
        <x:v>2025年该区县公开指标尚未录入；空值不代表零。</x:v>
      </x:c>
      <x:c r="AB17" t="n">
        <x:f>COUNT(D17:W17)</x:f>
        <x:v>0</x:v>
      </x:c>
    </x:row>
    <x:row r="18" ht="21" customHeight="1">
      <x:c r="A18" t="str">
        <x:v>萍乡市</x:v>
      </x:c>
      <x:c r="B18" t="str">
        <x:v>上栗县</x:v>
      </x:c>
      <x:c r="C18" t="str">
        <x:v>县</x:v>
      </x:c>
      <x:c r="D18" s="12"/>
      <x:c r="E18" s="12"/>
      <x:c r="F18" s="12"/>
      <x:c r="G18" s="12"/>
      <x:c r="H18" s="12"/>
      <x:c r="I18" s="14"/>
      <x:c r="J18" s="16"/>
      <x:c r="K18" s="16"/>
      <x:c r="L18" s="16"/>
      <x:c r="M18" s="16"/>
      <x:c r="N18" s="16"/>
      <x:c r="O18" s="16"/>
      <x:c r="P18" s="16"/>
      <x:c r="Q18" s="16"/>
      <x:c r="R18" s="16"/>
      <x:c r="S18" s="16"/>
      <x:c r="T18" s="16"/>
      <x:c r="U18" s="16"/>
      <x:c r="V18" s="16"/>
      <x:c r="W18" s="16"/>
      <x:c r="X18" t="str"/>
      <x:c r="Y18" t="str"/>
      <x:c r="Z18" t="str"/>
      <x:c r="AA18" t="str">
        <x:v>2025年该区县公开指标尚未录入；空值不代表零。</x:v>
      </x:c>
      <x:c r="AB18" t="n">
        <x:f>COUNT(D18:W18)</x:f>
        <x:v>0</x:v>
      </x:c>
    </x:row>
    <x:row r="19" ht="21" customHeight="1">
      <x:c r="A19" t="str">
        <x:v>萍乡市</x:v>
      </x:c>
      <x:c r="B19" t="str">
        <x:v>芦溪县</x:v>
      </x:c>
      <x:c r="C19" t="str">
        <x:v>县</x:v>
      </x:c>
      <x:c r="D19" s="12"/>
      <x:c r="E19" s="12"/>
      <x:c r="F19" s="12"/>
      <x:c r="G19" s="12"/>
      <x:c r="H19" s="12"/>
      <x:c r="I19" s="14"/>
      <x:c r="J19" s="16"/>
      <x:c r="K19" s="16"/>
      <x:c r="L19" s="16"/>
      <x:c r="M19" s="16"/>
      <x:c r="N19" s="16"/>
      <x:c r="O19" s="16"/>
      <x:c r="P19" s="16"/>
      <x:c r="Q19" s="16"/>
      <x:c r="R19" s="16"/>
      <x:c r="S19" s="16"/>
      <x:c r="T19" s="16"/>
      <x:c r="U19" s="16"/>
      <x:c r="V19" s="16"/>
      <x:c r="W19" s="16"/>
      <x:c r="X19" t="str"/>
      <x:c r="Y19" t="str"/>
      <x:c r="Z19" t="str"/>
      <x:c r="AA19" t="str">
        <x:v>2025年该区县公开指标尚未录入；空值不代表零。</x:v>
      </x:c>
      <x:c r="AB19" t="n">
        <x:f>COUNT(D19:W19)</x:f>
        <x:v>0</x:v>
      </x:c>
    </x:row>
    <x:row r="20" ht="21" customHeight="1">
      <x:c r="A20" t="str">
        <x:v>九江市</x:v>
      </x:c>
      <x:c r="B20" t="str">
        <x:v>濂溪区</x:v>
      </x:c>
      <x:c r="C20" t="str">
        <x:v>区</x:v>
      </x:c>
      <x:c r="D20" s="12"/>
      <x:c r="E20" s="12"/>
      <x:c r="F20" s="12"/>
      <x:c r="G20" s="12"/>
      <x:c r="H20" s="12"/>
      <x:c r="I20" s="14"/>
      <x:c r="J20" s="16"/>
      <x:c r="K20" s="16"/>
      <x:c r="L20" s="16"/>
      <x:c r="M20" s="16"/>
      <x:c r="N20" s="16"/>
      <x:c r="O20" s="16"/>
      <x:c r="P20" s="16"/>
      <x:c r="Q20" s="16"/>
      <x:c r="R20" s="16"/>
      <x:c r="S20" s="16"/>
      <x:c r="T20" s="16"/>
      <x:c r="U20" s="16"/>
      <x:c r="V20" s="16"/>
      <x:c r="W20" s="16"/>
      <x:c r="X20" t="str"/>
      <x:c r="Y20" t="str"/>
      <x:c r="Z20" t="str"/>
      <x:c r="AA20" t="str">
        <x:v>2025年该区县公开指标尚未录入；空值不代表零。</x:v>
      </x:c>
      <x:c r="AB20" t="n">
        <x:f>COUNT(D20:W20)</x:f>
        <x:v>0</x:v>
      </x:c>
    </x:row>
    <x:row r="21" ht="21" customHeight="1">
      <x:c r="A21" t="str">
        <x:v>九江市</x:v>
      </x:c>
      <x:c r="B21" t="str">
        <x:v>浔阳区</x:v>
      </x:c>
      <x:c r="C21" t="str">
        <x:v>区</x:v>
      </x:c>
      <x:c r="D21" s="12"/>
      <x:c r="E21" s="12"/>
      <x:c r="F21" s="12"/>
      <x:c r="G21" s="12"/>
      <x:c r="H21" s="12"/>
      <x:c r="I21" s="14"/>
      <x:c r="J21" s="16"/>
      <x:c r="K21" s="16"/>
      <x:c r="L21" s="16"/>
      <x:c r="M21" s="16"/>
      <x:c r="N21" s="16"/>
      <x:c r="O21" s="16"/>
      <x:c r="P21" s="16"/>
      <x:c r="Q21" s="16"/>
      <x:c r="R21" s="16"/>
      <x:c r="S21" s="16"/>
      <x:c r="T21" s="16"/>
      <x:c r="U21" s="16"/>
      <x:c r="V21" s="16"/>
      <x:c r="W21" s="16"/>
      <x:c r="X21" t="str"/>
      <x:c r="Y21" t="str"/>
      <x:c r="Z21" t="str"/>
      <x:c r="AA21" t="str">
        <x:v>2025年该区县公开指标尚未录入；空值不代表零。</x:v>
      </x:c>
      <x:c r="AB21" t="n">
        <x:f>COUNT(D21:W21)</x:f>
        <x:v>0</x:v>
      </x:c>
    </x:row>
    <x:row r="22" ht="21" customHeight="1">
      <x:c r="A22" t="str">
        <x:v>九江市</x:v>
      </x:c>
      <x:c r="B22" t="str">
        <x:v>柴桑区</x:v>
      </x:c>
      <x:c r="C22" t="str">
        <x:v>区</x:v>
      </x:c>
      <x:c r="D22" s="12"/>
      <x:c r="E22" s="12"/>
      <x:c r="F22" s="12"/>
      <x:c r="G22" s="12"/>
      <x:c r="H22" s="12"/>
      <x:c r="I22" s="14"/>
      <x:c r="J22" s="16"/>
      <x:c r="K22" s="16"/>
      <x:c r="L22" s="16"/>
      <x:c r="M22" s="16"/>
      <x:c r="N22" s="16"/>
      <x:c r="O22" s="16"/>
      <x:c r="P22" s="16"/>
      <x:c r="Q22" s="16"/>
      <x:c r="R22" s="16"/>
      <x:c r="S22" s="16"/>
      <x:c r="T22" s="16"/>
      <x:c r="U22" s="16"/>
      <x:c r="V22" s="16"/>
      <x:c r="W22" s="16"/>
      <x:c r="X22" t="str"/>
      <x:c r="Y22" t="str"/>
      <x:c r="Z22" t="str"/>
      <x:c r="AA22" t="str">
        <x:v>2025年该区县公开指标尚未录入；空值不代表零。</x:v>
      </x:c>
      <x:c r="AB22" t="n">
        <x:f>COUNT(D22:W22)</x:f>
        <x:v>0</x:v>
      </x:c>
    </x:row>
    <x:row r="23" ht="21" customHeight="1">
      <x:c r="A23" t="str">
        <x:v>九江市</x:v>
      </x:c>
      <x:c r="B23" t="str">
        <x:v>瑞昌市</x:v>
      </x:c>
      <x:c r="C23" t="str">
        <x:v>县级市</x:v>
      </x:c>
      <x:c r="D23" s="12"/>
      <x:c r="E23" s="12"/>
      <x:c r="F23" s="12"/>
      <x:c r="G23" s="12"/>
      <x:c r="H23" s="12"/>
      <x:c r="I23" s="14"/>
      <x:c r="J23" s="16"/>
      <x:c r="K23" s="16"/>
      <x:c r="L23" s="16"/>
      <x:c r="M23" s="16"/>
      <x:c r="N23" s="16"/>
      <x:c r="O23" s="16"/>
      <x:c r="P23" s="16"/>
      <x:c r="Q23" s="16"/>
      <x:c r="R23" s="16"/>
      <x:c r="S23" s="16"/>
      <x:c r="T23" s="16"/>
      <x:c r="U23" s="16"/>
      <x:c r="V23" s="16"/>
      <x:c r="W23" s="16"/>
      <x:c r="X23" t="str"/>
      <x:c r="Y23" t="str"/>
      <x:c r="Z23" t="str"/>
      <x:c r="AA23" t="str">
        <x:v>2025年该区县公开指标尚未录入；空值不代表零。</x:v>
      </x:c>
      <x:c r="AB23" t="n">
        <x:f>COUNT(D23:W23)</x:f>
        <x:v>0</x:v>
      </x:c>
    </x:row>
    <x:row r="24" ht="21" customHeight="1">
      <x:c r="A24" t="str">
        <x:v>九江市</x:v>
      </x:c>
      <x:c r="B24" t="str">
        <x:v>共青城市</x:v>
      </x:c>
      <x:c r="C24" t="str">
        <x:v>县级市</x:v>
      </x:c>
      <x:c r="D24" s="12"/>
      <x:c r="E24" s="12"/>
      <x:c r="F24" s="12"/>
      <x:c r="G24" s="12"/>
      <x:c r="H24" s="12"/>
      <x:c r="I24" s="14"/>
      <x:c r="J24" s="16"/>
      <x:c r="K24" s="16"/>
      <x:c r="L24" s="16"/>
      <x:c r="M24" s="16"/>
      <x:c r="N24" s="16"/>
      <x:c r="O24" s="16"/>
      <x:c r="P24" s="16"/>
      <x:c r="Q24" s="16"/>
      <x:c r="R24" s="16"/>
      <x:c r="S24" s="16"/>
      <x:c r="T24" s="16"/>
      <x:c r="U24" s="16"/>
      <x:c r="V24" s="16"/>
      <x:c r="W24" s="16"/>
      <x:c r="X24" t="str"/>
      <x:c r="Y24" t="str"/>
      <x:c r="Z24" t="str"/>
      <x:c r="AA24" t="str">
        <x:v>2025年该区县公开指标尚未录入；空值不代表零。</x:v>
      </x:c>
      <x:c r="AB24" t="n">
        <x:f>COUNT(D24:W24)</x:f>
        <x:v>0</x:v>
      </x:c>
    </x:row>
    <x:row r="25" ht="21" customHeight="1">
      <x:c r="A25" t="str">
        <x:v>九江市</x:v>
      </x:c>
      <x:c r="B25" t="str">
        <x:v>庐山市</x:v>
      </x:c>
      <x:c r="C25" t="str">
        <x:v>县级市</x:v>
      </x:c>
      <x:c r="D25" s="12"/>
      <x:c r="E25" s="12"/>
      <x:c r="F25" s="12"/>
      <x:c r="G25" s="12"/>
      <x:c r="H25" s="12"/>
      <x:c r="I25" s="14"/>
      <x:c r="J25" s="16"/>
      <x:c r="K25" s="16"/>
      <x:c r="L25" s="16"/>
      <x:c r="M25" s="16"/>
      <x:c r="N25" s="16"/>
      <x:c r="O25" s="16"/>
      <x:c r="P25" s="16"/>
      <x:c r="Q25" s="16"/>
      <x:c r="R25" s="16"/>
      <x:c r="S25" s="16"/>
      <x:c r="T25" s="16"/>
      <x:c r="U25" s="16"/>
      <x:c r="V25" s="16"/>
      <x:c r="W25" s="16"/>
      <x:c r="X25" t="str"/>
      <x:c r="Y25" t="str"/>
      <x:c r="Z25" t="str"/>
      <x:c r="AA25" t="str">
        <x:v>2025年该区县公开指标尚未录入；空值不代表零。</x:v>
      </x:c>
      <x:c r="AB25" t="n">
        <x:f>COUNT(D25:W25)</x:f>
        <x:v>0</x:v>
      </x:c>
    </x:row>
    <x:row r="26" ht="21" customHeight="1">
      <x:c r="A26" t="str">
        <x:v>九江市</x:v>
      </x:c>
      <x:c r="B26" t="str">
        <x:v>武宁县</x:v>
      </x:c>
      <x:c r="C26" t="str">
        <x:v>县</x:v>
      </x:c>
      <x:c r="D26" s="12" t="n">
        <x:v>299219</x:v>
      </x:c>
      <x:c r="E26" s="12" t="n">
        <x:v>163948</x:v>
      </x:c>
      <x:c r="F26" s="12"/>
      <x:c r="G26" s="12"/>
      <x:c r="H26" s="12"/>
      <x:c r="I26" s="14"/>
      <x:c r="J26" s="16"/>
      <x:c r="K26" s="16" t="n">
        <x:v>1784</x:v>
      </x:c>
      <x:c r="L26" s="16" t="n">
        <x:v>624</x:v>
      </x:c>
      <x:c r="M26" s="16" t="n">
        <x:v>48293</x:v>
      </x:c>
      <x:c r="N26" s="16" t="n">
        <x:v>25516</x:v>
      </x:c>
      <x:c r="O26" s="16" t="n">
        <x:v>33400</x:v>
      </x:c>
      <x:c r="P26" s="16" t="n">
        <x:v>7197</x:v>
      </x:c>
      <x:c r="Q26" s="16" t="n">
        <x:v>120000</x:v>
      </x:c>
      <x:c r="R26" s="16"/>
      <x:c r="S26" s="16"/>
      <x:c r="T26" s="16"/>
      <x:c r="U26" s="16"/>
      <x:c r="V26" s="16"/>
      <x:c r="W26" s="16"/>
      <x:c r="X26" t="str">
        <x:v>https://maptable.com/tjgb/2025/%E4%B9%9D%E6%B1%9F%E5%B8%82/%E6%AD%A6%E5%AE%81%E5%8E%BF/report/jiu-jiang-shi-wu-ning-xian-2025-nian-guo-min-jing-ji-he-she-hui-fa-zhan-tong-ji-gong-bao-2</x:v>
      </x:c>
      <x:c r="Y26" t="str">
        <x:v>https://maptable.com/tjgb/2025/%E4%B9%9D%E6%B1%9F%E5%B8%82/%E6%AD%A6%E5%AE%81%E5%8E%BF/report/jiu-jiang-shi-wu-ning-xian-2025-nian-guo-min-jing-ji-he-she-hui-fa-zhan-tong-ji-gong-bao-2</x:v>
      </x:c>
      <x:c r="Z26" t="str">
        <x:v>https://maptable.com/tjgb/2025/%E4%B9%9D%E6%B1%9F%E5%B8%82/%E6%AD%A6%E5%AE%81%E5%8E%BF/report/jiu-jiang-shi-wu-ning-xian-2025-nian-guo-min-jing-ji-he-she-hui-fa-zhan-tong-ji-gong-bao-2</x:v>
      </x:c>
      <x:c r="AA26" t="str">
        <x:v>职工及机关事业养老参保为在职人数（不含离退休人员），居民养老参保为制度参保。</x:v>
      </x:c>
      <x:c r="AB26" t="n">
        <x:f>COUNT(D26:W26)</x:f>
        <x:v>9</x:v>
      </x:c>
    </x:row>
    <x:row r="27" ht="21" customHeight="1">
      <x:c r="A27" t="str">
        <x:v>九江市</x:v>
      </x:c>
      <x:c r="B27" t="str">
        <x:v>修水县</x:v>
      </x:c>
      <x:c r="C27" t="str">
        <x:v>县</x:v>
      </x:c>
      <x:c r="D27" s="12"/>
      <x:c r="E27" s="12"/>
      <x:c r="F27" s="12"/>
      <x:c r="G27" s="12"/>
      <x:c r="H27" s="12"/>
      <x:c r="I27" s="14"/>
      <x:c r="J27" s="16"/>
      <x:c r="K27" s="16"/>
      <x:c r="L27" s="16"/>
      <x:c r="M27" s="16"/>
      <x:c r="N27" s="16"/>
      <x:c r="O27" s="16"/>
      <x:c r="P27" s="16"/>
      <x:c r="Q27" s="16"/>
      <x:c r="R27" s="16"/>
      <x:c r="S27" s="16"/>
      <x:c r="T27" s="16"/>
      <x:c r="U27" s="16"/>
      <x:c r="V27" s="16"/>
      <x:c r="W27" s="16"/>
      <x:c r="X27" t="str"/>
      <x:c r="Y27" t="str"/>
      <x:c r="Z27" t="str"/>
      <x:c r="AA27" t="str">
        <x:v>2025年该区县公开指标尚未录入；空值不代表零。</x:v>
      </x:c>
      <x:c r="AB27" t="n">
        <x:f>COUNT(D27:W27)</x:f>
        <x:v>0</x:v>
      </x:c>
    </x:row>
    <x:row r="28" ht="21" customHeight="1">
      <x:c r="A28" t="str">
        <x:v>九江市</x:v>
      </x:c>
      <x:c r="B28" t="str">
        <x:v>永修县</x:v>
      </x:c>
      <x:c r="C28" t="str">
        <x:v>县</x:v>
      </x:c>
      <x:c r="D28" s="12"/>
      <x:c r="E28" s="12"/>
      <x:c r="F28" s="12"/>
      <x:c r="G28" s="12"/>
      <x:c r="H28" s="12"/>
      <x:c r="I28" s="14"/>
      <x:c r="J28" s="16"/>
      <x:c r="K28" s="16"/>
      <x:c r="L28" s="16"/>
      <x:c r="M28" s="16"/>
      <x:c r="N28" s="16"/>
      <x:c r="O28" s="16"/>
      <x:c r="P28" s="16"/>
      <x:c r="Q28" s="16"/>
      <x:c r="R28" s="16"/>
      <x:c r="S28" s="16"/>
      <x:c r="T28" s="16"/>
      <x:c r="U28" s="16"/>
      <x:c r="V28" s="16"/>
      <x:c r="W28" s="16"/>
      <x:c r="X28" t="str"/>
      <x:c r="Y28" t="str"/>
      <x:c r="Z28" t="str"/>
      <x:c r="AA28" t="str">
        <x:v>2025年该区县公开指标尚未录入；空值不代表零。</x:v>
      </x:c>
      <x:c r="AB28" t="n">
        <x:f>COUNT(D28:W28)</x:f>
        <x:v>0</x:v>
      </x:c>
    </x:row>
    <x:row r="29" ht="21" customHeight="1">
      <x:c r="A29" t="str">
        <x:v>九江市</x:v>
      </x:c>
      <x:c r="B29" t="str">
        <x:v>德安县</x:v>
      </x:c>
      <x:c r="C29" t="str">
        <x:v>县</x:v>
      </x:c>
      <x:c r="D29" s="12"/>
      <x:c r="E29" s="12"/>
      <x:c r="F29" s="12"/>
      <x:c r="G29" s="12"/>
      <x:c r="H29" s="12"/>
      <x:c r="I29" s="14"/>
      <x:c r="J29" s="16"/>
      <x:c r="K29" s="16"/>
      <x:c r="L29" s="16"/>
      <x:c r="M29" s="16"/>
      <x:c r="N29" s="16"/>
      <x:c r="O29" s="16"/>
      <x:c r="P29" s="16"/>
      <x:c r="Q29" s="16"/>
      <x:c r="R29" s="16"/>
      <x:c r="S29" s="16"/>
      <x:c r="T29" s="16"/>
      <x:c r="U29" s="16"/>
      <x:c r="V29" s="16"/>
      <x:c r="W29" s="16"/>
      <x:c r="X29" t="str"/>
      <x:c r="Y29" t="str"/>
      <x:c r="Z29" t="str"/>
      <x:c r="AA29" t="str">
        <x:v>2025年该区县公开指标尚未录入；空值不代表零。</x:v>
      </x:c>
      <x:c r="AB29" t="n">
        <x:f>COUNT(D29:W29)</x:f>
        <x:v>0</x:v>
      </x:c>
    </x:row>
    <x:row r="30" ht="21" customHeight="1">
      <x:c r="A30" t="str">
        <x:v>九江市</x:v>
      </x:c>
      <x:c r="B30" t="str">
        <x:v>都昌县</x:v>
      </x:c>
      <x:c r="C30" t="str">
        <x:v>县</x:v>
      </x:c>
      <x:c r="D30" s="12" t="n">
        <x:v>527481</x:v>
      </x:c>
      <x:c r="E30" s="12" t="n">
        <x:v>238638</x:v>
      </x:c>
      <x:c r="F30" s="12" t="n">
        <x:v>122001</x:v>
      </x:c>
      <x:c r="G30" s="12"/>
      <x:c r="H30" s="12" t="n">
        <x:v>766235</x:v>
      </x:c>
      <x:c r="I30" s="14"/>
      <x:c r="J30" s="16"/>
      <x:c r="K30" s="16"/>
      <x:c r="L30" s="16"/>
      <x:c r="M30" s="16"/>
      <x:c r="N30" s="16"/>
      <x:c r="O30" s="16"/>
      <x:c r="P30" s="16"/>
      <x:c r="Q30" s="16"/>
      <x:c r="R30" s="16"/>
      <x:c r="S30" s="16"/>
      <x:c r="T30" s="16"/>
      <x:c r="U30" s="16"/>
      <x:c r="V30" s="16"/>
      <x:c r="W30" s="16"/>
      <x:c r="X30" t="str">
        <x:v>https://tjgb.hongheiku.com/xjtjgb/xj2020/78303.html</x:v>
      </x:c>
      <x:c r="Y30" t="str">
        <x:v>https://tjgb.hongheiku.com/xjtjgb/xj2020/78303.html</x:v>
      </x:c>
      <x:c r="Z30" t="str">
        <x:v>https://tjgb.hongheiku.com/xjtjgb/xj2020/78303.html</x:v>
      </x:c>
      <x:c r="AA30" t="str"/>
      <x:c r="AB30" t="n">
        <x:f>COUNT(D30:W30)</x:f>
        <x:v>4</x:v>
      </x:c>
    </x:row>
    <x:row r="31" ht="21" customHeight="1">
      <x:c r="A31" t="str">
        <x:v>九江市</x:v>
      </x:c>
      <x:c r="B31" t="str">
        <x:v>湖口县</x:v>
      </x:c>
      <x:c r="C31" t="str">
        <x:v>县</x:v>
      </x:c>
      <x:c r="D31" s="12"/>
      <x:c r="E31" s="12"/>
      <x:c r="F31" s="12"/>
      <x:c r="G31" s="12"/>
      <x:c r="H31" s="12"/>
      <x:c r="I31" s="14"/>
      <x:c r="J31" s="16"/>
      <x:c r="K31" s="16"/>
      <x:c r="L31" s="16"/>
      <x:c r="M31" s="16"/>
      <x:c r="N31" s="16"/>
      <x:c r="O31" s="16"/>
      <x:c r="P31" s="16"/>
      <x:c r="Q31" s="16"/>
      <x:c r="R31" s="16"/>
      <x:c r="S31" s="16"/>
      <x:c r="T31" s="16"/>
      <x:c r="U31" s="16"/>
      <x:c r="V31" s="16"/>
      <x:c r="W31" s="16"/>
      <x:c r="X31" t="str"/>
      <x:c r="Y31" t="str"/>
      <x:c r="Z31" t="str"/>
      <x:c r="AA31" t="str">
        <x:v>2025年该区县公开指标尚未录入；空值不代表零。</x:v>
      </x:c>
      <x:c r="AB31" t="n">
        <x:f>COUNT(D31:W31)</x:f>
        <x:v>0</x:v>
      </x:c>
    </x:row>
    <x:row r="32" ht="21" customHeight="1">
      <x:c r="A32" t="str">
        <x:v>九江市</x:v>
      </x:c>
      <x:c r="B32" t="str">
        <x:v>彭泽县</x:v>
      </x:c>
      <x:c r="C32" t="str">
        <x:v>县</x:v>
      </x:c>
      <x:c r="D32" s="12"/>
      <x:c r="E32" s="12"/>
      <x:c r="F32" s="12"/>
      <x:c r="G32" s="12"/>
      <x:c r="H32" s="12"/>
      <x:c r="I32" s="14"/>
      <x:c r="J32" s="16"/>
      <x:c r="K32" s="16"/>
      <x:c r="L32" s="16"/>
      <x:c r="M32" s="16"/>
      <x:c r="N32" s="16"/>
      <x:c r="O32" s="16"/>
      <x:c r="P32" s="16"/>
      <x:c r="Q32" s="16"/>
      <x:c r="R32" s="16"/>
      <x:c r="S32" s="16"/>
      <x:c r="T32" s="16"/>
      <x:c r="U32" s="16"/>
      <x:c r="V32" s="16"/>
      <x:c r="W32" s="16"/>
      <x:c r="X32" t="str"/>
      <x:c r="Y32" t="str"/>
      <x:c r="Z32" t="str"/>
      <x:c r="AA32" t="str">
        <x:v>2025年该区县公开指标尚未录入；空值不代表零。</x:v>
      </x:c>
      <x:c r="AB32" t="n">
        <x:f>COUNT(D32:W32)</x:f>
        <x:v>0</x:v>
      </x:c>
    </x:row>
    <x:row r="33" ht="21" customHeight="1">
      <x:c r="A33" t="str">
        <x:v>新余市</x:v>
      </x:c>
      <x:c r="B33" t="str">
        <x:v>渝水区</x:v>
      </x:c>
      <x:c r="C33" t="str">
        <x:v>区</x:v>
      </x:c>
      <x:c r="D33" s="12"/>
      <x:c r="E33" s="12"/>
      <x:c r="F33" s="12"/>
      <x:c r="G33" s="12"/>
      <x:c r="H33" s="12"/>
      <x:c r="I33" s="14"/>
      <x:c r="J33" s="16"/>
      <x:c r="K33" s="16"/>
      <x:c r="L33" s="16"/>
      <x:c r="M33" s="16"/>
      <x:c r="N33" s="16"/>
      <x:c r="O33" s="16"/>
      <x:c r="P33" s="16"/>
      <x:c r="Q33" s="16"/>
      <x:c r="R33" s="16"/>
      <x:c r="S33" s="16"/>
      <x:c r="T33" s="16"/>
      <x:c r="U33" s="16"/>
      <x:c r="V33" s="16"/>
      <x:c r="W33" s="16"/>
      <x:c r="X33" t="str"/>
      <x:c r="Y33" t="str"/>
      <x:c r="Z33" t="str"/>
      <x:c r="AA33" t="str">
        <x:v>2025年该区县公开指标尚未录入；空值不代表零。</x:v>
      </x:c>
      <x:c r="AB33" t="n">
        <x:f>COUNT(D33:W33)</x:f>
        <x:v>0</x:v>
      </x:c>
    </x:row>
    <x:row r="34" ht="21" customHeight="1">
      <x:c r="A34" t="str">
        <x:v>新余市</x:v>
      </x:c>
      <x:c r="B34" t="str">
        <x:v>分宜县</x:v>
      </x:c>
      <x:c r="C34" t="str">
        <x:v>县</x:v>
      </x:c>
      <x:c r="D34" s="12" t="n">
        <x:v>264758</x:v>
      </x:c>
      <x:c r="E34" s="12" t="n">
        <x:v>178380</x:v>
      </x:c>
      <x:c r="F34" s="12"/>
      <x:c r="G34" s="12"/>
      <x:c r="H34" s="12"/>
      <x:c r="I34" s="14" t="n">
        <x:v>243.23</x:v>
      </x:c>
      <x:c r="J34" s="16"/>
      <x:c r="K34" s="16"/>
      <x:c r="L34" s="16"/>
      <x:c r="M34" s="16"/>
      <x:c r="N34" s="16"/>
      <x:c r="O34" s="16"/>
      <x:c r="P34" s="16"/>
      <x:c r="Q34" s="16" t="n">
        <x:v>167100</x:v>
      </x:c>
      <x:c r="R34" s="16"/>
      <x:c r="S34" s="16"/>
      <x:c r="T34" s="16"/>
      <x:c r="U34" s="16"/>
      <x:c r="V34" s="16"/>
      <x:c r="W34" s="16"/>
      <x:c r="X34" t="str">
        <x:v>https://tjgb.hongheiku.com/xjtjgb/xj2020/72716.html</x:v>
      </x:c>
      <x:c r="Y34" t="str">
        <x:v>https://tjgb.hongheiku.com/xjtjgb/xj2020/72716.html</x:v>
      </x:c>
      <x:c r="Z34" t="str">
        <x:v>https://tjgb.hongheiku.com/xjtjgb/xj2020/72716.html</x:v>
      </x:c>
      <x:c r="AA34" t="str">
        <x:v>全县基本养老参保约23.59万人；城乡居民参保16.71万人。</x:v>
      </x:c>
      <x:c r="AB34" t="n">
        <x:f>COUNT(D34:W34)</x:f>
        <x:v>4</x:v>
      </x:c>
    </x:row>
    <x:row r="35" ht="21" customHeight="1">
      <x:c r="A35" t="str">
        <x:v>鹰潭市</x:v>
      </x:c>
      <x:c r="B35" t="str">
        <x:v>月湖区</x:v>
      </x:c>
      <x:c r="C35" t="str">
        <x:v>区</x:v>
      </x:c>
      <x:c r="D35" s="12"/>
      <x:c r="E35" s="12"/>
      <x:c r="F35" s="12"/>
      <x:c r="G35" s="12"/>
      <x:c r="H35" s="12"/>
      <x:c r="I35" s="14"/>
      <x:c r="J35" s="16"/>
      <x:c r="K35" s="16"/>
      <x:c r="L35" s="16"/>
      <x:c r="M35" s="16"/>
      <x:c r="N35" s="16"/>
      <x:c r="O35" s="16"/>
      <x:c r="P35" s="16"/>
      <x:c r="Q35" s="16"/>
      <x:c r="R35" s="16"/>
      <x:c r="S35" s="16"/>
      <x:c r="T35" s="16"/>
      <x:c r="U35" s="16"/>
      <x:c r="V35" s="16"/>
      <x:c r="W35" s="16"/>
      <x:c r="X35" t="str"/>
      <x:c r="Y35" t="str"/>
      <x:c r="Z35" t="str"/>
      <x:c r="AA35" t="str">
        <x:v>2025年该区县公开指标尚未录入；空值不代表零。</x:v>
      </x:c>
      <x:c r="AB35" t="n">
        <x:f>COUNT(D35:W35)</x:f>
        <x:v>0</x:v>
      </x:c>
    </x:row>
    <x:row r="36" ht="21" customHeight="1">
      <x:c r="A36" t="str">
        <x:v>鹰潭市</x:v>
      </x:c>
      <x:c r="B36" t="str">
        <x:v>余江区</x:v>
      </x:c>
      <x:c r="C36" t="str">
        <x:v>区</x:v>
      </x:c>
      <x:c r="D36" s="12"/>
      <x:c r="E36" s="12"/>
      <x:c r="F36" s="12"/>
      <x:c r="G36" s="12"/>
      <x:c r="H36" s="12"/>
      <x:c r="I36" s="14"/>
      <x:c r="J36" s="16"/>
      <x:c r="K36" s="16"/>
      <x:c r="L36" s="16"/>
      <x:c r="M36" s="16"/>
      <x:c r="N36" s="16"/>
      <x:c r="O36" s="16"/>
      <x:c r="P36" s="16"/>
      <x:c r="Q36" s="16"/>
      <x:c r="R36" s="16"/>
      <x:c r="S36" s="16"/>
      <x:c r="T36" s="16"/>
      <x:c r="U36" s="16"/>
      <x:c r="V36" s="16"/>
      <x:c r="W36" s="16"/>
      <x:c r="X36" t="str"/>
      <x:c r="Y36" t="str"/>
      <x:c r="Z36" t="str"/>
      <x:c r="AA36" t="str">
        <x:v>2025年该区县公开指标尚未录入；空值不代表零。</x:v>
      </x:c>
      <x:c r="AB36" t="n">
        <x:f>COUNT(D36:W36)</x:f>
        <x:v>0</x:v>
      </x:c>
    </x:row>
    <x:row r="37" ht="21" customHeight="1">
      <x:c r="A37" t="str">
        <x:v>鹰潭市</x:v>
      </x:c>
      <x:c r="B37" t="str">
        <x:v>贵溪市</x:v>
      </x:c>
      <x:c r="C37" t="str">
        <x:v>县级市</x:v>
      </x:c>
      <x:c r="D37" s="12"/>
      <x:c r="E37" s="12"/>
      <x:c r="F37" s="12"/>
      <x:c r="G37" s="12"/>
      <x:c r="H37" s="12"/>
      <x:c r="I37" s="14"/>
      <x:c r="J37" s="16"/>
      <x:c r="K37" s="16"/>
      <x:c r="L37" s="16"/>
      <x:c r="M37" s="16"/>
      <x:c r="N37" s="16"/>
      <x:c r="O37" s="16"/>
      <x:c r="P37" s="16"/>
      <x:c r="Q37" s="16"/>
      <x:c r="R37" s="16"/>
      <x:c r="S37" s="16"/>
      <x:c r="T37" s="16"/>
      <x:c r="U37" s="16"/>
      <x:c r="V37" s="16"/>
      <x:c r="W37" s="16"/>
      <x:c r="X37" t="str"/>
      <x:c r="Y37" t="str"/>
      <x:c r="Z37" t="str"/>
      <x:c r="AA37" t="str">
        <x:v>2025年该区县公开指标尚未录入；空值不代表零。</x:v>
      </x:c>
      <x:c r="AB37" t="n">
        <x:f>COUNT(D37:W37)</x:f>
        <x:v>0</x:v>
      </x:c>
    </x:row>
    <x:row r="38" ht="21" customHeight="1">
      <x:c r="A38" t="str">
        <x:v>赣州市</x:v>
      </x:c>
      <x:c r="B38" t="str">
        <x:v>章贡区</x:v>
      </x:c>
      <x:c r="C38" t="str">
        <x:v>区</x:v>
      </x:c>
      <x:c r="D38" s="12" t="n">
        <x:v>718000</x:v>
      </x:c>
      <x:c r="E38" s="12"/>
      <x:c r="F38" s="12"/>
      <x:c r="G38" s="12"/>
      <x:c r="H38" s="12"/>
      <x:c r="I38" s="14"/>
      <x:c r="J38" s="16"/>
      <x:c r="K38" s="16"/>
      <x:c r="L38" s="16"/>
      <x:c r="M38" s="16"/>
      <x:c r="N38" s="16"/>
      <x:c r="O38" s="16"/>
      <x:c r="P38" s="16"/>
      <x:c r="Q38" s="16"/>
      <x:c r="R38" s="16"/>
      <x:c r="S38" s="16"/>
      <x:c r="T38" s="16"/>
      <x:c r="U38" s="16"/>
      <x:c r="V38" s="16"/>
      <x:c r="W38" s="16"/>
      <x:c r="X38" t="str">
        <x:v>https://www.ganzhou.gov.cn/zfxxgk/tjzdtjfx/202605/1b10c9c94cf1443f851d6523be5863d3.shtml</x:v>
      </x:c>
      <x:c r="Y38" t="str"/>
      <x:c r="Z38" t="str"/>
      <x:c r="AA38" t="str">
        <x:v>新增来源：赣州市政府2025各县区常住人口表，万人的两位小数换算，精度约100人；不可当精确到人的人口数。</x:v>
      </x:c>
      <x:c r="AB38" t="n">
        <x:f>COUNT(D38:W38)</x:f>
        <x:v>1</x:v>
      </x:c>
    </x:row>
    <x:row r="39" ht="21" customHeight="1">
      <x:c r="A39" t="str">
        <x:v>赣州市</x:v>
      </x:c>
      <x:c r="B39" t="str">
        <x:v>南康区</x:v>
      </x:c>
      <x:c r="C39" t="str">
        <x:v>区</x:v>
      </x:c>
      <x:c r="D39" s="12" t="n">
        <x:v>838200</x:v>
      </x:c>
      <x:c r="E39" s="12"/>
      <x:c r="F39" s="12"/>
      <x:c r="G39" s="12"/>
      <x:c r="H39" s="12"/>
      <x:c r="I39" s="14"/>
      <x:c r="J39" s="16"/>
      <x:c r="K39" s="16"/>
      <x:c r="L39" s="16"/>
      <x:c r="M39" s="16"/>
      <x:c r="N39" s="16"/>
      <x:c r="O39" s="16"/>
      <x:c r="P39" s="16"/>
      <x:c r="Q39" s="16"/>
      <x:c r="R39" s="16"/>
      <x:c r="S39" s="16"/>
      <x:c r="T39" s="16"/>
      <x:c r="U39" s="16"/>
      <x:c r="V39" s="16"/>
      <x:c r="W39" s="16"/>
      <x:c r="X39" t="str">
        <x:v>https://www.ganzhou.gov.cn/zfxxgk/tjzdtjfx/202605/1b10c9c94cf1443f851d6523be5863d3.shtml</x:v>
      </x:c>
      <x:c r="Y39" t="str"/>
      <x:c r="Z39" t="str"/>
      <x:c r="AA39" t="str">
        <x:v>新增来源：赣州市政府2025各县区常住人口表，万人的两位小数换算，精度约100人；不可当精确到人的人口数。</x:v>
      </x:c>
      <x:c r="AB39" t="n">
        <x:f>COUNT(D39:W39)</x:f>
        <x:v>1</x:v>
      </x:c>
    </x:row>
    <x:row r="40" ht="21" customHeight="1">
      <x:c r="A40" t="str">
        <x:v>赣州市</x:v>
      </x:c>
      <x:c r="B40" t="str">
        <x:v>赣县区</x:v>
      </x:c>
      <x:c r="C40" t="str">
        <x:v>区</x:v>
      </x:c>
      <x:c r="D40" s="12" t="n">
        <x:v>573400</x:v>
      </x:c>
      <x:c r="E40" s="12"/>
      <x:c r="F40" s="12"/>
      <x:c r="G40" s="12"/>
      <x:c r="H40" s="12"/>
      <x:c r="I40" s="14" t="n">
        <x:v>312.33</x:v>
      </x:c>
      <x:c r="J40" s="16"/>
      <x:c r="K40" s="16"/>
      <x:c r="L40" s="16"/>
      <x:c r="M40" s="16"/>
      <x:c r="N40" s="16"/>
      <x:c r="O40" s="16"/>
      <x:c r="P40" s="16"/>
      <x:c r="Q40" s="16"/>
      <x:c r="R40" s="16"/>
      <x:c r="S40" s="16"/>
      <x:c r="T40" s="16"/>
      <x:c r="U40" s="16"/>
      <x:c r="V40" s="16"/>
      <x:c r="W40" s="16"/>
      <x:c r="X40" t="str">
        <x:v>https://www.ganzhou.gov.cn/zfxxgk/tjzdtjfx/202605/1b10c9c94cf1443f851d6523be5863d3.shtml</x:v>
      </x:c>
      <x:c r="Y40" t="str">
        <x:v>https://tjgb.hongheiku.com/xjtjgb/xj2020/75251.html</x:v>
      </x:c>
      <x:c r="Z40" t="str">
        <x:v>https://tjgb.hongheiku.com/xjtjgb/xj2020/75251.html</x:v>
      </x:c>
      <x:c r="AA40" t="str">
        <x:v>新增来源：赣州市政府2025各县区常住人口表，万人的两位小数换算，精度约100人；不可当精确到人的人口数。</x:v>
      </x:c>
      <x:c r="AB40" t="n">
        <x:f>COUNT(D40:W40)</x:f>
        <x:v>2</x:v>
      </x:c>
    </x:row>
    <x:row r="41" ht="21" customHeight="1">
      <x:c r="A41" t="str">
        <x:v>赣州市</x:v>
      </x:c>
      <x:c r="B41" t="str">
        <x:v>瑞金市</x:v>
      </x:c>
      <x:c r="C41" t="str">
        <x:v>县级市</x:v>
      </x:c>
      <x:c r="D41" s="12" t="n">
        <x:v>606700</x:v>
      </x:c>
      <x:c r="E41" s="12"/>
      <x:c r="F41" s="12"/>
      <x:c r="G41" s="12"/>
      <x:c r="H41" s="12"/>
      <x:c r="I41" s="14"/>
      <x:c r="J41" s="16"/>
      <x:c r="K41" s="16"/>
      <x:c r="L41" s="16"/>
      <x:c r="M41" s="16"/>
      <x:c r="N41" s="16"/>
      <x:c r="O41" s="16"/>
      <x:c r="P41" s="16"/>
      <x:c r="Q41" s="16"/>
      <x:c r="R41" s="16"/>
      <x:c r="S41" s="16"/>
      <x:c r="T41" s="16"/>
      <x:c r="U41" s="16"/>
      <x:c r="V41" s="16"/>
      <x:c r="W41" s="16"/>
      <x:c r="X41" t="str">
        <x:v>https://www.ganzhou.gov.cn/zfxxgk/tjzdtjfx/202605/1b10c9c94cf1443f851d6523be5863d3.shtml</x:v>
      </x:c>
      <x:c r="Y41" t="str"/>
      <x:c r="Z41" t="str"/>
      <x:c r="AA41" t="str">
        <x:v>新增来源：赣州市政府2025各县区常住人口表，万人的两位小数换算，精度约100人；不可当精确到人的人口数。</x:v>
      </x:c>
      <x:c r="AB41" t="n">
        <x:f>COUNT(D41:W41)</x:f>
        <x:v>1</x:v>
      </x:c>
    </x:row>
    <x:row r="42" ht="21" customHeight="1">
      <x:c r="A42" t="str">
        <x:v>赣州市</x:v>
      </x:c>
      <x:c r="B42" t="str">
        <x:v>龙南市</x:v>
      </x:c>
      <x:c r="C42" t="str">
        <x:v>县级市</x:v>
      </x:c>
      <x:c r="D42" s="12" t="n">
        <x:v>316700</x:v>
      </x:c>
      <x:c r="E42" s="12"/>
      <x:c r="F42" s="12"/>
      <x:c r="G42" s="12"/>
      <x:c r="H42" s="12"/>
      <x:c r="I42" s="14"/>
      <x:c r="J42" s="16"/>
      <x:c r="K42" s="16"/>
      <x:c r="L42" s="16"/>
      <x:c r="M42" s="16"/>
      <x:c r="N42" s="16"/>
      <x:c r="O42" s="16"/>
      <x:c r="P42" s="16"/>
      <x:c r="Q42" s="16"/>
      <x:c r="R42" s="16"/>
      <x:c r="S42" s="16"/>
      <x:c r="T42" s="16"/>
      <x:c r="U42" s="16"/>
      <x:c r="V42" s="16"/>
      <x:c r="W42" s="16"/>
      <x:c r="X42" t="str">
        <x:v>https://www.ganzhou.gov.cn/zfxxgk/tjzdtjfx/202605/1b10c9c94cf1443f851d6523be5863d3.shtml</x:v>
      </x:c>
      <x:c r="Y42" t="str"/>
      <x:c r="Z42" t="str"/>
      <x:c r="AA42" t="str">
        <x:v>新增来源：赣州市政府2025各县区常住人口表，万人的两位小数换算，精度约100人；不可当精确到人的人口数。</x:v>
      </x:c>
      <x:c r="AB42" t="n">
        <x:f>COUNT(D42:W42)</x:f>
        <x:v>1</x:v>
      </x:c>
    </x:row>
    <x:row r="43" ht="21" customHeight="1">
      <x:c r="A43" t="str">
        <x:v>赣州市</x:v>
      </x:c>
      <x:c r="B43" t="str">
        <x:v>信丰县</x:v>
      </x:c>
      <x:c r="C43" t="str">
        <x:v>县</x:v>
      </x:c>
      <x:c r="D43" s="12" t="n">
        <x:v>672406</x:v>
      </x:c>
      <x:c r="E43" s="12" t="n">
        <x:v>386765</x:v>
      </x:c>
      <x:c r="F43" s="12"/>
      <x:c r="G43" s="12"/>
      <x:c r="H43" s="12"/>
      <x:c r="I43" s="14" t="n">
        <x:v>341.2</x:v>
      </x:c>
      <x:c r="J43" s="16"/>
      <x:c r="K43" s="16"/>
      <x:c r="L43" s="16"/>
      <x:c r="M43" s="16"/>
      <x:c r="N43" s="16"/>
      <x:c r="O43" s="16"/>
      <x:c r="P43" s="16"/>
      <x:c r="Q43" s="16"/>
      <x:c r="R43" s="16"/>
      <x:c r="S43" s="16"/>
      <x:c r="T43" s="16"/>
      <x:c r="U43" s="16"/>
      <x:c r="V43" s="16"/>
      <x:c r="W43" s="16"/>
      <x:c r="X43" t="str">
        <x:v>https://tjgb.hongheiku.com/xjtjgb/xj2020/76398.html</x:v>
      </x:c>
      <x:c r="Y43" t="str">
        <x:v>https://tjgb.hongheiku.com/xjtjgb/xj2020/76398.html</x:v>
      </x:c>
      <x:c r="Z43" t="str">
        <x:v>https://tjgb.hongheiku.com/xjtjgb/xj2020/76398.html</x:v>
      </x:c>
      <x:c r="AA43" t="str"/>
      <x:c r="AB43" t="n">
        <x:f>COUNT(D43:W43)</x:f>
        <x:v>3</x:v>
      </x:c>
    </x:row>
    <x:row r="44" ht="21" customHeight="1">
      <x:c r="A44" t="str">
        <x:v>赣州市</x:v>
      </x:c>
      <x:c r="B44" t="str">
        <x:v>大余县</x:v>
      </x:c>
      <x:c r="C44" t="str">
        <x:v>县</x:v>
      </x:c>
      <x:c r="D44" s="12" t="n">
        <x:v>260700</x:v>
      </x:c>
      <x:c r="E44" s="12"/>
      <x:c r="F44" s="12"/>
      <x:c r="G44" s="12"/>
      <x:c r="H44" s="12"/>
      <x:c r="I44" s="14"/>
      <x:c r="J44" s="16"/>
      <x:c r="K44" s="16"/>
      <x:c r="L44" s="16"/>
      <x:c r="M44" s="16"/>
      <x:c r="N44" s="16"/>
      <x:c r="O44" s="16"/>
      <x:c r="P44" s="16"/>
      <x:c r="Q44" s="16"/>
      <x:c r="R44" s="16"/>
      <x:c r="S44" s="16"/>
      <x:c r="T44" s="16"/>
      <x:c r="U44" s="16"/>
      <x:c r="V44" s="16"/>
      <x:c r="W44" s="16"/>
      <x:c r="X44" t="str">
        <x:v>https://www.ganzhou.gov.cn/zfxxgk/tjzdtjfx/202605/1b10c9c94cf1443f851d6523be5863d3.shtml</x:v>
      </x:c>
      <x:c r="Y44" t="str"/>
      <x:c r="Z44" t="str"/>
      <x:c r="AA44" t="str">
        <x:v>新增来源：赣州市政府2025各县区常住人口表，万人的两位小数换算，精度约100人；不可当精确到人的人口数。</x:v>
      </x:c>
      <x:c r="AB44" t="n">
        <x:f>COUNT(D44:W44)</x:f>
        <x:v>1</x:v>
      </x:c>
    </x:row>
    <x:row r="45" ht="21" customHeight="1">
      <x:c r="A45" t="str">
        <x:v>赣州市</x:v>
      </x:c>
      <x:c r="B45" t="str">
        <x:v>上犹县</x:v>
      </x:c>
      <x:c r="C45" t="str">
        <x:v>县</x:v>
      </x:c>
      <x:c r="D45" s="12" t="n">
        <x:v>265700</x:v>
      </x:c>
      <x:c r="E45" s="12"/>
      <x:c r="F45" s="12"/>
      <x:c r="G45" s="12"/>
      <x:c r="H45" s="12"/>
      <x:c r="I45" s="14"/>
      <x:c r="J45" s="16"/>
      <x:c r="K45" s="16"/>
      <x:c r="L45" s="16"/>
      <x:c r="M45" s="16"/>
      <x:c r="N45" s="16"/>
      <x:c r="O45" s="16"/>
      <x:c r="P45" s="16"/>
      <x:c r="Q45" s="16"/>
      <x:c r="R45" s="16"/>
      <x:c r="S45" s="16"/>
      <x:c r="T45" s="16"/>
      <x:c r="U45" s="16"/>
      <x:c r="V45" s="16"/>
      <x:c r="W45" s="16"/>
      <x:c r="X45" t="str">
        <x:v>https://www.ganzhou.gov.cn/zfxxgk/tjzdtjfx/202605/1b10c9c94cf1443f851d6523be5863d3.shtml</x:v>
      </x:c>
      <x:c r="Y45" t="str"/>
      <x:c r="Z45" t="str"/>
      <x:c r="AA45" t="str">
        <x:v>新增来源：赣州市政府2025各县区常住人口表，万人的两位小数换算，精度约100人；不可当精确到人的人口数。</x:v>
      </x:c>
      <x:c r="AB45" t="n">
        <x:f>COUNT(D45:W45)</x:f>
        <x:v>1</x:v>
      </x:c>
    </x:row>
    <x:row r="46" ht="21" customHeight="1">
      <x:c r="A46" t="str">
        <x:v>赣州市</x:v>
      </x:c>
      <x:c r="B46" t="str">
        <x:v>崇义县</x:v>
      </x:c>
      <x:c r="C46" t="str">
        <x:v>县</x:v>
      </x:c>
      <x:c r="D46" s="12" t="n">
        <x:v>175654</x:v>
      </x:c>
      <x:c r="E46" s="12" t="n">
        <x:v>90977</x:v>
      </x:c>
      <x:c r="F46" s="12"/>
      <x:c r="G46" s="12"/>
      <x:c r="H46" s="12" t="n">
        <x:v>209837</x:v>
      </x:c>
      <x:c r="I46" s="14" t="n">
        <x:v>131.5</x:v>
      </x:c>
      <x:c r="J46" s="16"/>
      <x:c r="K46" s="16"/>
      <x:c r="L46" s="16"/>
      <x:c r="M46" s="16"/>
      <x:c r="N46" s="16"/>
      <x:c r="O46" s="16"/>
      <x:c r="P46" s="16"/>
      <x:c r="Q46" s="16"/>
      <x:c r="R46" s="16"/>
      <x:c r="S46" s="16"/>
      <x:c r="T46" s="16"/>
      <x:c r="U46" s="16"/>
      <x:c r="V46" s="16"/>
      <x:c r="W46" s="16"/>
      <x:c r="X46" t="str">
        <x:v>https://tjgb.hongheiku.com/xjtjgb/xj2020/74335.html</x:v>
      </x:c>
      <x:c r="Y46" t="str">
        <x:v>https://tjgb.hongheiku.com/xjtjgb/xj2020/74335.html</x:v>
      </x:c>
      <x:c r="Z46" t="str">
        <x:v>https://tjgb.hongheiku.com/xjtjgb/xj2020/74335.html</x:v>
      </x:c>
      <x:c r="AA46" t="str"/>
      <x:c r="AB46" t="n">
        <x:f>COUNT(D46:W46)</x:f>
        <x:v>4</x:v>
      </x:c>
    </x:row>
    <x:row r="47" ht="21" customHeight="1">
      <x:c r="A47" t="str">
        <x:v>赣州市</x:v>
      </x:c>
      <x:c r="B47" t="str">
        <x:v>安远县</x:v>
      </x:c>
      <x:c r="C47" t="str">
        <x:v>县</x:v>
      </x:c>
      <x:c r="D47" s="12" t="n">
        <x:v>342200</x:v>
      </x:c>
      <x:c r="E47" s="12"/>
      <x:c r="F47" s="12"/>
      <x:c r="G47" s="12"/>
      <x:c r="H47" s="12"/>
      <x:c r="I47" s="14"/>
      <x:c r="J47" s="16"/>
      <x:c r="K47" s="16"/>
      <x:c r="L47" s="16"/>
      <x:c r="M47" s="16"/>
      <x:c r="N47" s="16"/>
      <x:c r="O47" s="16"/>
      <x:c r="P47" s="16"/>
      <x:c r="Q47" s="16"/>
      <x:c r="R47" s="16"/>
      <x:c r="S47" s="16"/>
      <x:c r="T47" s="16"/>
      <x:c r="U47" s="16"/>
      <x:c r="V47" s="16"/>
      <x:c r="W47" s="16"/>
      <x:c r="X47" t="str">
        <x:v>https://www.ganzhou.gov.cn/zfxxgk/tjzdtjfx/202605/1b10c9c94cf1443f851d6523be5863d3.shtml</x:v>
      </x:c>
      <x:c r="Y47" t="str"/>
      <x:c r="Z47" t="str"/>
      <x:c r="AA47" t="str">
        <x:v>新增来源：赣州市政府2025各县区常住人口表，万人的两位小数换算，精度约100人；不可当精确到人的人口数。</x:v>
      </x:c>
      <x:c r="AB47" t="n">
        <x:f>COUNT(D47:W47)</x:f>
        <x:v>1</x:v>
      </x:c>
    </x:row>
    <x:row r="48" ht="21" customHeight="1">
      <x:c r="A48" t="str">
        <x:v>赣州市</x:v>
      </x:c>
      <x:c r="B48" t="str">
        <x:v>定南县</x:v>
      </x:c>
      <x:c r="C48" t="str">
        <x:v>县</x:v>
      </x:c>
      <x:c r="D48" s="12" t="n">
        <x:v>209700</x:v>
      </x:c>
      <x:c r="E48" s="12"/>
      <x:c r="F48" s="12"/>
      <x:c r="G48" s="12"/>
      <x:c r="H48" s="12"/>
      <x:c r="I48" s="14"/>
      <x:c r="J48" s="16"/>
      <x:c r="K48" s="16"/>
      <x:c r="L48" s="16"/>
      <x:c r="M48" s="16"/>
      <x:c r="N48" s="16"/>
      <x:c r="O48" s="16"/>
      <x:c r="P48" s="16"/>
      <x:c r="Q48" s="16"/>
      <x:c r="R48" s="16"/>
      <x:c r="S48" s="16"/>
      <x:c r="T48" s="16"/>
      <x:c r="U48" s="16"/>
      <x:c r="V48" s="16"/>
      <x:c r="W48" s="16"/>
      <x:c r="X48" t="str">
        <x:v>https://www.ganzhou.gov.cn/zfxxgk/tjzdtjfx/202605/1b10c9c94cf1443f851d6523be5863d3.shtml</x:v>
      </x:c>
      <x:c r="Y48" t="str"/>
      <x:c r="Z48" t="str"/>
      <x:c r="AA48" t="str">
        <x:v>新增来源：赣州市政府2025各县区常住人口表，万人的两位小数换算，精度约100人；不可当精确到人的人口数。</x:v>
      </x:c>
      <x:c r="AB48" t="n">
        <x:f>COUNT(D48:W48)</x:f>
        <x:v>1</x:v>
      </x:c>
    </x:row>
    <x:row r="49" ht="21" customHeight="1">
      <x:c r="A49" t="str">
        <x:v>赣州市</x:v>
      </x:c>
      <x:c r="B49" t="str">
        <x:v>全南县</x:v>
      </x:c>
      <x:c r="C49" t="str">
        <x:v>县</x:v>
      </x:c>
      <x:c r="D49" s="12" t="n">
        <x:v>168000</x:v>
      </x:c>
      <x:c r="E49" s="12"/>
      <x:c r="F49" s="12"/>
      <x:c r="G49" s="12"/>
      <x:c r="H49" s="12"/>
      <x:c r="I49" s="14"/>
      <x:c r="J49" s="16"/>
      <x:c r="K49" s="16"/>
      <x:c r="L49" s="16"/>
      <x:c r="M49" s="16"/>
      <x:c r="N49" s="16"/>
      <x:c r="O49" s="16"/>
      <x:c r="P49" s="16"/>
      <x:c r="Q49" s="16"/>
      <x:c r="R49" s="16"/>
      <x:c r="S49" s="16"/>
      <x:c r="T49" s="16"/>
      <x:c r="U49" s="16"/>
      <x:c r="V49" s="16"/>
      <x:c r="W49" s="16"/>
      <x:c r="X49" t="str">
        <x:v>https://www.ganzhou.gov.cn/zfxxgk/tjzdtjfx/202605/1b10c9c94cf1443f851d6523be5863d3.shtml</x:v>
      </x:c>
      <x:c r="Y49" t="str"/>
      <x:c r="Z49" t="str"/>
      <x:c r="AA49" t="str">
        <x:v>新增来源：赣州市政府2025各县区常住人口表，万人的两位小数换算，精度约100人；不可当精确到人的人口数。</x:v>
      </x:c>
      <x:c r="AB49" t="n">
        <x:f>COUNT(D49:W49)</x:f>
        <x:v>1</x:v>
      </x:c>
    </x:row>
    <x:row r="50" ht="21" customHeight="1">
      <x:c r="A50" t="str">
        <x:v>赣州市</x:v>
      </x:c>
      <x:c r="B50" t="str">
        <x:v>宁都县</x:v>
      </x:c>
      <x:c r="C50" t="str">
        <x:v>县</x:v>
      </x:c>
      <x:c r="D50" s="12" t="n">
        <x:v>690500</x:v>
      </x:c>
      <x:c r="E50" s="12"/>
      <x:c r="F50" s="12"/>
      <x:c r="G50" s="12"/>
      <x:c r="H50" s="12"/>
      <x:c r="I50" s="14"/>
      <x:c r="J50" s="16"/>
      <x:c r="K50" s="16"/>
      <x:c r="L50" s="16"/>
      <x:c r="M50" s="16"/>
      <x:c r="N50" s="16"/>
      <x:c r="O50" s="16"/>
      <x:c r="P50" s="16"/>
      <x:c r="Q50" s="16"/>
      <x:c r="R50" s="16"/>
      <x:c r="S50" s="16"/>
      <x:c r="T50" s="16"/>
      <x:c r="U50" s="16"/>
      <x:c r="V50" s="16"/>
      <x:c r="W50" s="16"/>
      <x:c r="X50" t="str">
        <x:v>https://www.ganzhou.gov.cn/zfxxgk/tjzdtjfx/202605/1b10c9c94cf1443f851d6523be5863d3.shtml</x:v>
      </x:c>
      <x:c r="Y50" t="str"/>
      <x:c r="Z50" t="str"/>
      <x:c r="AA50" t="str">
        <x:v>新增来源：赣州市政府2025各县区常住人口表，万人的两位小数换算，精度约100人；不可当精确到人的人口数。</x:v>
      </x:c>
      <x:c r="AB50" t="n">
        <x:f>COUNT(D50:W50)</x:f>
        <x:v>1</x:v>
      </x:c>
    </x:row>
    <x:row r="51" ht="21" customHeight="1">
      <x:c r="A51" t="str">
        <x:v>赣州市</x:v>
      </x:c>
      <x:c r="B51" t="str">
        <x:v>于都县</x:v>
      </x:c>
      <x:c r="C51" t="str">
        <x:v>县</x:v>
      </x:c>
      <x:c r="D51" s="12" t="n">
        <x:v>896200</x:v>
      </x:c>
      <x:c r="E51" s="12"/>
      <x:c r="F51" s="12"/>
      <x:c r="G51" s="12"/>
      <x:c r="H51" s="12"/>
      <x:c r="I51" s="14"/>
      <x:c r="J51" s="16"/>
      <x:c r="K51" s="16"/>
      <x:c r="L51" s="16"/>
      <x:c r="M51" s="16"/>
      <x:c r="N51" s="16"/>
      <x:c r="O51" s="16"/>
      <x:c r="P51" s="16"/>
      <x:c r="Q51" s="16"/>
      <x:c r="R51" s="16"/>
      <x:c r="S51" s="16"/>
      <x:c r="T51" s="16"/>
      <x:c r="U51" s="16"/>
      <x:c r="V51" s="16"/>
      <x:c r="W51" s="16"/>
      <x:c r="X51" t="str">
        <x:v>https://www.ganzhou.gov.cn/zfxxgk/tjzdtjfx/202605/1b10c9c94cf1443f851d6523be5863d3.shtml</x:v>
      </x:c>
      <x:c r="Y51" t="str"/>
      <x:c r="Z51" t="str"/>
      <x:c r="AA51" t="str">
        <x:v>新增来源：赣州市政府2025各县区常住人口表，万人的两位小数换算，精度约100人；不可当精确到人的人口数。</x:v>
      </x:c>
      <x:c r="AB51" t="n">
        <x:f>COUNT(D51:W51)</x:f>
        <x:v>1</x:v>
      </x:c>
    </x:row>
    <x:row r="52" ht="21" customHeight="1">
      <x:c r="A52" t="str">
        <x:v>赣州市</x:v>
      </x:c>
      <x:c r="B52" t="str">
        <x:v>兴国县</x:v>
      </x:c>
      <x:c r="C52" t="str">
        <x:v>县</x:v>
      </x:c>
      <x:c r="D52" s="12" t="n">
        <x:v>706344</x:v>
      </x:c>
      <x:c r="E52" s="12" t="n">
        <x:v>355637</x:v>
      </x:c>
      <x:c r="F52" s="12" t="n">
        <x:v>142232</x:v>
      </x:c>
      <x:c r="G52" s="12" t="n">
        <x:v>99215</x:v>
      </x:c>
      <x:c r="H52" s="12"/>
      <x:c r="I52" s="14" t="n">
        <x:v>268.95</x:v>
      </x:c>
      <x:c r="J52" s="16"/>
      <x:c r="K52" s="16"/>
      <x:c r="L52" s="16"/>
      <x:c r="M52" s="16"/>
      <x:c r="N52" s="16"/>
      <x:c r="O52" s="16"/>
      <x:c r="P52" s="16"/>
      <x:c r="Q52" s="16"/>
      <x:c r="R52" s="16"/>
      <x:c r="S52" s="16"/>
      <x:c r="T52" s="16"/>
      <x:c r="U52" s="16"/>
      <x:c r="V52" s="16"/>
      <x:c r="W52" s="16"/>
      <x:c r="X52" t="str">
        <x:v>https://tjgb.hongheiku.com/xjtjgb/xj2020/71515.html</x:v>
      </x:c>
      <x:c r="Y52" t="str">
        <x:v>https://tjgb.hongheiku.com/xjtjgb/xj2020/71515.html</x:v>
      </x:c>
      <x:c r="Z52" t="str">
        <x:v>https://tjgb.hongheiku.com/xjtjgb/xj2020/71515.html</x:v>
      </x:c>
      <x:c r="AA52" t="str"/>
      <x:c r="AB52" t="n">
        <x:f>COUNT(D52:W52)</x:f>
        <x:v>5</x:v>
      </x:c>
    </x:row>
    <x:row r="53" ht="21" customHeight="1">
      <x:c r="A53" t="str">
        <x:v>赣州市</x:v>
      </x:c>
      <x:c r="B53" t="str">
        <x:v>会昌县</x:v>
      </x:c>
      <x:c r="C53" t="str">
        <x:v>县</x:v>
      </x:c>
      <x:c r="D53" s="12" t="n">
        <x:v>450800</x:v>
      </x:c>
      <x:c r="E53" s="12"/>
      <x:c r="F53" s="12"/>
      <x:c r="G53" s="12"/>
      <x:c r="H53" s="12"/>
      <x:c r="I53" s="14"/>
      <x:c r="J53" s="16"/>
      <x:c r="K53" s="16"/>
      <x:c r="L53" s="16"/>
      <x:c r="M53" s="16"/>
      <x:c r="N53" s="16"/>
      <x:c r="O53" s="16"/>
      <x:c r="P53" s="16"/>
      <x:c r="Q53" s="16"/>
      <x:c r="R53" s="16"/>
      <x:c r="S53" s="16"/>
      <x:c r="T53" s="16"/>
      <x:c r="U53" s="16"/>
      <x:c r="V53" s="16"/>
      <x:c r="W53" s="16"/>
      <x:c r="X53" t="str">
        <x:v>https://www.ganzhou.gov.cn/zfxxgk/tjzdtjfx/202605/1b10c9c94cf1443f851d6523be5863d3.shtml</x:v>
      </x:c>
      <x:c r="Y53" t="str"/>
      <x:c r="Z53" t="str"/>
      <x:c r="AA53" t="str">
        <x:v>新增来源：赣州市政府2025各县区常住人口表，万人的两位小数换算，精度约100人；不可当精确到人的人口数。</x:v>
      </x:c>
      <x:c r="AB53" t="n">
        <x:f>COUNT(D53:W53)</x:f>
        <x:v>1</x:v>
      </x:c>
    </x:row>
    <x:row r="54" ht="21" customHeight="1">
      <x:c r="A54" t="str">
        <x:v>赣州市</x:v>
      </x:c>
      <x:c r="B54" t="str">
        <x:v>寻乌县</x:v>
      </x:c>
      <x:c r="C54" t="str">
        <x:v>县</x:v>
      </x:c>
      <x:c r="D54" s="12" t="n">
        <x:v>279700</x:v>
      </x:c>
      <x:c r="E54" s="12"/>
      <x:c r="F54" s="12"/>
      <x:c r="G54" s="12"/>
      <x:c r="H54" s="12"/>
      <x:c r="I54" s="14"/>
      <x:c r="J54" s="16"/>
      <x:c r="K54" s="16"/>
      <x:c r="L54" s="16"/>
      <x:c r="M54" s="16"/>
      <x:c r="N54" s="16"/>
      <x:c r="O54" s="16"/>
      <x:c r="P54" s="16"/>
      <x:c r="Q54" s="16"/>
      <x:c r="R54" s="16"/>
      <x:c r="S54" s="16"/>
      <x:c r="T54" s="16"/>
      <x:c r="U54" s="16"/>
      <x:c r="V54" s="16"/>
      <x:c r="W54" s="16"/>
      <x:c r="X54" t="str">
        <x:v>https://www.ganzhou.gov.cn/zfxxgk/tjzdtjfx/202605/1b10c9c94cf1443f851d6523be5863d3.shtml</x:v>
      </x:c>
      <x:c r="Y54" t="str"/>
      <x:c r="Z54" t="str"/>
      <x:c r="AA54" t="str">
        <x:v>新增来源：赣州市政府2025各县区常住人口表，万人的两位小数换算，精度约100人；不可当精确到人的人口数。</x:v>
      </x:c>
      <x:c r="AB54" t="n">
        <x:f>COUNT(D54:W54)</x:f>
        <x:v>1</x:v>
      </x:c>
    </x:row>
    <x:row r="55" ht="21" customHeight="1">
      <x:c r="A55" t="str">
        <x:v>赣州市</x:v>
      </x:c>
      <x:c r="B55" t="str">
        <x:v>石城县</x:v>
      </x:c>
      <x:c r="C55" t="str">
        <x:v>县</x:v>
      </x:c>
      <x:c r="D55" s="12" t="n">
        <x:v>280500</x:v>
      </x:c>
      <x:c r="E55" s="12" t="n">
        <x:v>149600</x:v>
      </x:c>
      <x:c r="F55" s="12"/>
      <x:c r="G55" s="12"/>
      <x:c r="H55" s="12" t="n">
        <x:v>327427</x:v>
      </x:c>
      <x:c r="I55" s="14" t="n">
        <x:v>120.7736</x:v>
      </x:c>
      <x:c r="J55" s="16" t="n">
        <x:v>1410</x:v>
      </x:c>
      <x:c r="K55" s="16"/>
      <x:c r="L55" s="16"/>
      <x:c r="M55" s="16" t="n">
        <x:v>37550</x:v>
      </x:c>
      <x:c r="N55" s="16" t="n">
        <x:v>19075</x:v>
      </x:c>
      <x:c r="O55" s="16"/>
      <x:c r="P55" s="16"/>
      <x:c r="Q55" s="16" t="n">
        <x:v>152200</x:v>
      </x:c>
      <x:c r="R55" s="16"/>
      <x:c r="S55" s="16"/>
      <x:c r="T55" s="16"/>
      <x:c r="U55" s="16"/>
      <x:c r="V55" s="16"/>
      <x:c r="W55" s="16"/>
      <x:c r="X55" t="str">
        <x:v>https://www.shicheng.gov.cn/scxxxgk/tjgb/202604/adc5c0bf738b43f3b5b80a2693d08ed4.shtml</x:v>
      </x:c>
      <x:c r="Y55" t="str">
        <x:v>https://www.shicheng.gov.cn/scxxxgk/tjgb/202604/adc5c0bf738b43f3b5b80a2693d08ed4.shtml</x:v>
      </x:c>
      <x:c r="Z55" t="str">
        <x:v>https://www.shicheng.gov.cn/scxxxgk/tjgb/202604/adc5c0bf738b43f3b5b80a2693d08ed4.shtml</x:v>
      </x:c>
      <x:c r="AA55" t="str">
        <x:v>2025县政府统计公报。D/E万人两位小数换算；另有户籍60岁及以上61421人，不能混入常住年龄结构。</x:v>
      </x:c>
      <x:c r="AB55" t="n">
        <x:f>COUNT(D55:W55)</x:f>
        <x:v>8</x:v>
      </x:c>
    </x:row>
    <x:row r="56" ht="21" customHeight="1">
      <x:c r="A56" t="str">
        <x:v>吉安市</x:v>
      </x:c>
      <x:c r="B56" t="str">
        <x:v>吉州区</x:v>
      </x:c>
      <x:c r="C56" t="str">
        <x:v>区</x:v>
      </x:c>
      <x:c r="D56" s="12"/>
      <x:c r="E56" s="12"/>
      <x:c r="F56" s="12"/>
      <x:c r="G56" s="12"/>
      <x:c r="H56" s="12"/>
      <x:c r="I56" s="14"/>
      <x:c r="J56" s="16"/>
      <x:c r="K56" s="16"/>
      <x:c r="L56" s="16"/>
      <x:c r="M56" s="16"/>
      <x:c r="N56" s="16"/>
      <x:c r="O56" s="16"/>
      <x:c r="P56" s="16"/>
      <x:c r="Q56" s="16"/>
      <x:c r="R56" s="16"/>
      <x:c r="S56" s="16"/>
      <x:c r="T56" s="16"/>
      <x:c r="U56" s="16"/>
      <x:c r="V56" s="16"/>
      <x:c r="W56" s="16"/>
      <x:c r="X56" t="str"/>
      <x:c r="Y56" t="str"/>
      <x:c r="Z56" t="str"/>
      <x:c r="AA56" t="str">
        <x:v>2025年该区县公开指标尚未录入；空值不代表零。</x:v>
      </x:c>
      <x:c r="AB56" t="n">
        <x:f>COUNT(D56:W56)</x:f>
        <x:v>0</x:v>
      </x:c>
    </x:row>
    <x:row r="57" ht="21" customHeight="1">
      <x:c r="A57" t="str">
        <x:v>吉安市</x:v>
      </x:c>
      <x:c r="B57" t="str">
        <x:v>青原区</x:v>
      </x:c>
      <x:c r="C57" t="str">
        <x:v>区</x:v>
      </x:c>
      <x:c r="D57" s="12"/>
      <x:c r="E57" s="12"/>
      <x:c r="F57" s="12"/>
      <x:c r="G57" s="12"/>
      <x:c r="H57" s="12"/>
      <x:c r="I57" s="14"/>
      <x:c r="J57" s="16"/>
      <x:c r="K57" s="16"/>
      <x:c r="L57" s="16"/>
      <x:c r="M57" s="16"/>
      <x:c r="N57" s="16"/>
      <x:c r="O57" s="16"/>
      <x:c r="P57" s="16"/>
      <x:c r="Q57" s="16"/>
      <x:c r="R57" s="16"/>
      <x:c r="S57" s="16"/>
      <x:c r="T57" s="16"/>
      <x:c r="U57" s="16"/>
      <x:c r="V57" s="16"/>
      <x:c r="W57" s="16"/>
      <x:c r="X57" t="str"/>
      <x:c r="Y57" t="str"/>
      <x:c r="Z57" t="str"/>
      <x:c r="AA57" t="str">
        <x:v>2025年该区县公开指标尚未录入；空值不代表零。</x:v>
      </x:c>
      <x:c r="AB57" t="n">
        <x:f>COUNT(D57:W57)</x:f>
        <x:v>0</x:v>
      </x:c>
    </x:row>
    <x:row r="58" ht="21" customHeight="1">
      <x:c r="A58" t="str">
        <x:v>吉安市</x:v>
      </x:c>
      <x:c r="B58" t="str">
        <x:v>井冈山市</x:v>
      </x:c>
      <x:c r="C58" t="str">
        <x:v>县级市</x:v>
      </x:c>
      <x:c r="D58" s="12"/>
      <x:c r="E58" s="12"/>
      <x:c r="F58" s="12"/>
      <x:c r="G58" s="12"/>
      <x:c r="H58" s="12"/>
      <x:c r="I58" s="14"/>
      <x:c r="J58" s="16"/>
      <x:c r="K58" s="16"/>
      <x:c r="L58" s="16"/>
      <x:c r="M58" s="16"/>
      <x:c r="N58" s="16"/>
      <x:c r="O58" s="16"/>
      <x:c r="P58" s="16"/>
      <x:c r="Q58" s="16"/>
      <x:c r="R58" s="16"/>
      <x:c r="S58" s="16"/>
      <x:c r="T58" s="16"/>
      <x:c r="U58" s="16"/>
      <x:c r="V58" s="16"/>
      <x:c r="W58" s="16"/>
      <x:c r="X58" t="str"/>
      <x:c r="Y58" t="str"/>
      <x:c r="Z58" t="str"/>
      <x:c r="AA58" t="str">
        <x:v>2025年该区县公开指标尚未录入；空值不代表零。</x:v>
      </x:c>
      <x:c r="AB58" t="n">
        <x:f>COUNT(D58:W58)</x:f>
        <x:v>0</x:v>
      </x:c>
    </x:row>
    <x:row r="59" ht="21" customHeight="1">
      <x:c r="A59" t="str">
        <x:v>吉安市</x:v>
      </x:c>
      <x:c r="B59" t="str">
        <x:v>吉安县</x:v>
      </x:c>
      <x:c r="C59" t="str">
        <x:v>县</x:v>
      </x:c>
      <x:c r="D59" s="12" t="n">
        <x:v>390725</x:v>
      </x:c>
      <x:c r="E59" s="12" t="n">
        <x:v>195326</x:v>
      </x:c>
      <x:c r="F59" s="12"/>
      <x:c r="G59" s="12"/>
      <x:c r="H59" s="12" t="n">
        <x:v>500714</x:v>
      </x:c>
      <x:c r="I59" s="14" t="n">
        <x:v>278.0932</x:v>
      </x:c>
      <x:c r="J59" s="16" t="n">
        <x:v>6041</x:v>
      </x:c>
      <x:c r="K59" s="16" t="n">
        <x:v>2505</x:v>
      </x:c>
      <x:c r="L59" s="16" t="n">
        <x:v>467</x:v>
      </x:c>
      <x:c r="M59" s="16" t="n">
        <x:v>46935</x:v>
      </x:c>
      <x:c r="N59" s="16" t="n">
        <x:v>21265</x:v>
      </x:c>
      <x:c r="O59" s="16" t="n">
        <x:v>197979</x:v>
      </x:c>
      <x:c r="P59" s="16" t="n">
        <x:v>14915</x:v>
      </x:c>
      <x:c r="Q59" s="16" t="n">
        <x:v>253229</x:v>
      </x:c>
      <x:c r="R59" s="16"/>
      <x:c r="S59" s="16"/>
      <x:c r="T59" s="16"/>
      <x:c r="U59" s="16" t="n">
        <x:v>57981</x:v>
      </x:c>
      <x:c r="V59" s="16" t="n">
        <x:v>32639</x:v>
      </x:c>
      <x:c r="W59" s="16" t="n">
        <x:v>22880</x:v>
      </x:c>
      <x:c r="X59" t="str">
        <x:v>https://maptable.com/tjgb/2025/%E5%90%89%E5%AE%89%E5%B8%82/%E5%90%89%E5%AE%89%E5%8E%BF/report/ji-an-shi-ji-an-xian-2025-nian-guo-min-jing-ji-he-she-hui-fa-zhan-tong-ji-gong-bao</x:v>
      </x:c>
      <x:c r="Y59" t="str">
        <x:v>https://maptable.com/tjgb/2025/%E5%90%89%E5%AE%89%E5%B8%82/%E5%90%89%E5%AE%89%E5%8E%BF/report/ji-an-shi-ji-an-xian-2025-nian-guo-min-jing-ji-he-she-hui-fa-zhan-tong-ji-gong-bao</x:v>
      </x:c>
      <x:c r="Z59" t="str">
        <x:v>https://maptable.com/tjgb/2025/%E5%90%89%E5%AE%89%E5%B8%82/%E5%90%89%E5%AE%89%E5%8E%BF/report/ji-an-shi-ji-an-xian-2025-nian-guo-min-jing-ji-he-she-hui-fa-zhan-tong-ji-gong-bao</x:v>
      </x:c>
      <x:c r="AA59" t="str">
        <x:v>吉安县数据注明不含井冈山经开区。注意三类参保人数不是待遇领取人数，不可计算人均待遇。</x:v>
      </x:c>
      <x:c r="AB59" t="n">
        <x:f>COUNT(D59:W59)</x:f>
        <x:v>15</x:v>
      </x:c>
    </x:row>
    <x:row r="60" ht="21" customHeight="1">
      <x:c r="A60" t="str">
        <x:v>吉安市</x:v>
      </x:c>
      <x:c r="B60" t="str">
        <x:v>吉水县</x:v>
      </x:c>
      <x:c r="C60" t="str">
        <x:v>县</x:v>
      </x:c>
      <x:c r="D60" s="12"/>
      <x:c r="E60" s="12"/>
      <x:c r="F60" s="12"/>
      <x:c r="G60" s="12"/>
      <x:c r="H60" s="12"/>
      <x:c r="I60" s="14"/>
      <x:c r="J60" s="16"/>
      <x:c r="K60" s="16"/>
      <x:c r="L60" s="16"/>
      <x:c r="M60" s="16"/>
      <x:c r="N60" s="16"/>
      <x:c r="O60" s="16"/>
      <x:c r="P60" s="16"/>
      <x:c r="Q60" s="16"/>
      <x:c r="R60" s="16"/>
      <x:c r="S60" s="16"/>
      <x:c r="T60" s="16"/>
      <x:c r="U60" s="16"/>
      <x:c r="V60" s="16"/>
      <x:c r="W60" s="16"/>
      <x:c r="X60" t="str"/>
      <x:c r="Y60" t="str"/>
      <x:c r="Z60" t="str"/>
      <x:c r="AA60" t="str">
        <x:v>2025年该区县公开指标尚未录入；空值不代表零。</x:v>
      </x:c>
      <x:c r="AB60" t="n">
        <x:f>COUNT(D60:W60)</x:f>
        <x:v>0</x:v>
      </x:c>
    </x:row>
    <x:row r="61" ht="21" customHeight="1">
      <x:c r="A61" t="str">
        <x:v>吉安市</x:v>
      </x:c>
      <x:c r="B61" t="str">
        <x:v>峡江县</x:v>
      </x:c>
      <x:c r="C61" t="str">
        <x:v>县</x:v>
      </x:c>
      <x:c r="D61" s="12" t="n">
        <x:v>142688</x:v>
      </x:c>
      <x:c r="E61" s="12" t="n">
        <x:v>76554</x:v>
      </x:c>
      <x:c r="F61" s="12"/>
      <x:c r="G61" s="12"/>
      <x:c r="H61" s="12" t="n">
        <x:v>187997</x:v>
      </x:c>
      <x:c r="I61" s="14" t="n">
        <x:v>119.64</x:v>
      </x:c>
      <x:c r="J61" s="16" t="n">
        <x:v>1366</x:v>
      </x:c>
      <x:c r="K61" s="16"/>
      <x:c r="L61" s="16"/>
      <x:c r="M61" s="16" t="n">
        <x:v>41463</x:v>
      </x:c>
      <x:c r="N61" s="16" t="n">
        <x:v>21273</x:v>
      </x:c>
      <x:c r="O61" s="16" t="n">
        <x:v>35187</x:v>
      </x:c>
      <x:c r="P61" s="16" t="n">
        <x:v>7460</x:v>
      </x:c>
      <x:c r="Q61" s="16" t="n">
        <x:v>75903</x:v>
      </x:c>
      <x:c r="R61" s="16" t="n">
        <x:v>11273</x:v>
      </x:c>
      <x:c r="S61" s="16" t="n">
        <x:v>2508</x:v>
      </x:c>
      <x:c r="T61" s="16" t="n">
        <x:v>27367</x:v>
      </x:c>
      <x:c r="U61" s="16" t="n">
        <x:v>29571.25</x:v>
      </x:c>
      <x:c r="V61" s="16" t="n">
        <x:v>16218.5</x:v>
      </x:c>
      <x:c r="W61" s="16" t="n">
        <x:v>7910.83</x:v>
      </x:c>
      <x:c r="X61" t="str">
        <x:v>https://tjgb.hongheiku.com/xjtjgb/xj2020/73609.html</x:v>
      </x:c>
      <x:c r="Y61" t="str">
        <x:v>https://tjgb.hongheiku.com/xjtjgb/xj2020/73609.html</x:v>
      </x:c>
      <x:c r="Z61" t="str">
        <x:v>https://tjgb.hongheiku.com/xjtjgb/xj2020/73609.html</x:v>
      </x:c>
      <x:c r="AA61" t="str">
        <x:v>三类参保人数与待遇人数均有公布；按年发放额及年末人数估算人均月待遇。</x:v>
      </x:c>
      <x:c r="AB61" t="n">
        <x:f>COUNT(D61:W61)</x:f>
        <x:v>16</x:v>
      </x:c>
    </x:row>
    <x:row r="62" ht="21" customHeight="1">
      <x:c r="A62" t="str">
        <x:v>吉安市</x:v>
      </x:c>
      <x:c r="B62" t="str">
        <x:v>新干县</x:v>
      </x:c>
      <x:c r="C62" t="str">
        <x:v>县</x:v>
      </x:c>
      <x:c r="D62" s="12"/>
      <x:c r="E62" s="12"/>
      <x:c r="F62" s="12"/>
      <x:c r="G62" s="12"/>
      <x:c r="H62" s="12"/>
      <x:c r="I62" s="14"/>
      <x:c r="J62" s="16"/>
      <x:c r="K62" s="16"/>
      <x:c r="L62" s="16"/>
      <x:c r="M62" s="16"/>
      <x:c r="N62" s="16"/>
      <x:c r="O62" s="16"/>
      <x:c r="P62" s="16"/>
      <x:c r="Q62" s="16"/>
      <x:c r="R62" s="16"/>
      <x:c r="S62" s="16"/>
      <x:c r="T62" s="16"/>
      <x:c r="U62" s="16"/>
      <x:c r="V62" s="16"/>
      <x:c r="W62" s="16"/>
      <x:c r="X62" t="str"/>
      <x:c r="Y62" t="str"/>
      <x:c r="Z62" t="str"/>
      <x:c r="AA62" t="str">
        <x:v>2025年该区县公开指标尚未录入；空值不代表零。</x:v>
      </x:c>
      <x:c r="AB62" t="n">
        <x:f>COUNT(D62:W62)</x:f>
        <x:v>0</x:v>
      </x:c>
    </x:row>
    <x:row r="63" ht="21" customHeight="1">
      <x:c r="A63" t="str">
        <x:v>吉安市</x:v>
      </x:c>
      <x:c r="B63" t="str">
        <x:v>永丰县</x:v>
      </x:c>
      <x:c r="C63" t="str">
        <x:v>县</x:v>
      </x:c>
      <x:c r="D63" s="12" t="n">
        <x:v>367555</x:v>
      </x:c>
      <x:c r="E63" s="12"/>
      <x:c r="F63" s="12"/>
      <x:c r="G63" s="12"/>
      <x:c r="H63" s="12" t="n">
        <x:v>492476</x:v>
      </x:c>
      <x:c r="I63" s="14" t="n">
        <x:v>251.65</x:v>
      </x:c>
      <x:c r="J63" s="16" t="n">
        <x:v>3032</x:v>
      </x:c>
      <x:c r="K63" s="16" t="n">
        <x:v>1106</x:v>
      </x:c>
      <x:c r="L63" s="16" t="n">
        <x:v>434</x:v>
      </x:c>
      <x:c r="M63" s="16" t="n">
        <x:v>46797</x:v>
      </x:c>
      <x:c r="N63" s="16" t="n">
        <x:v>27921</x:v>
      </x:c>
      <x:c r="O63" s="16" t="n">
        <x:v>57800</x:v>
      </x:c>
      <x:c r="P63" s="16" t="n">
        <x:v>14900</x:v>
      </x:c>
      <x:c r="Q63" s="16" t="n">
        <x:v>230000</x:v>
      </x:c>
      <x:c r="R63" s="16" t="n">
        <x:v>15100</x:v>
      </x:c>
      <x:c r="S63" s="16" t="n">
        <x:v>4500</x:v>
      </x:c>
      <x:c r="T63" s="16" t="n">
        <x:v>69200</x:v>
      </x:c>
      <x:c r="U63" s="16"/>
      <x:c r="V63" s="16"/>
      <x:c r="W63" s="16"/>
      <x:c r="X63" t="str">
        <x:v>https://maptable.com/tjgb/2025/%E5%90%89%E5%AE%89%E5%B8%82/%E6%B0%B8%E4%B8%B0%E5%8E%BF/report/ji-an-shi-yong-feng-xian-2025-nian-guo-min-jing-ji-he-she-hui-fa-zhan-tong-ji-gong-bao-2</x:v>
      </x:c>
      <x:c r="Y63" t="str">
        <x:v>https://maptable.com/tjgb/2025/%E5%90%89%E5%AE%89%E5%B8%82/%E6%B0%B8%E4%B8%B0%E5%8E%BF/report/ji-an-shi-yong-feng-xian-2025-nian-guo-min-jing-ji-he-she-hui-fa-zhan-tong-ji-gong-bao-2</x:v>
      </x:c>
      <x:c r="Z63" t="str">
        <x:v>https://maptable.com/tjgb/2025/%E5%90%89%E5%AE%89%E5%B8%82/%E6%B0%B8%E4%B8%B0%E5%8E%BF/report/ji-an-shi-yong-feng-xian-2025-nian-guo-min-jing-ji-he-she-hui-fa-zhan-tong-ji-gong-bao-2</x:v>
      </x:c>
      <x:c r="AA63" t="str">
        <x:v>企业职工养老参保5.78万为公报所述在职职工人数，并非含退休人员总参保；离退休人员单列。机关参保1.49万。</x:v>
      </x:c>
      <x:c r="AB63" t="n">
        <x:f>COUNT(D63:W63)</x:f>
        <x:v>14</x:v>
      </x:c>
    </x:row>
    <x:row r="64" ht="21" customHeight="1">
      <x:c r="A64" t="str">
        <x:v>吉安市</x:v>
      </x:c>
      <x:c r="B64" t="str">
        <x:v>泰和县</x:v>
      </x:c>
      <x:c r="C64" t="str">
        <x:v>县</x:v>
      </x:c>
      <x:c r="D64" s="12" t="n">
        <x:v>437914</x:v>
      </x:c>
      <x:c r="E64" s="12" t="n">
        <x:v>239968</x:v>
      </x:c>
      <x:c r="F64" s="12"/>
      <x:c r="G64" s="12"/>
      <x:c r="H64" s="12" t="n">
        <x:v>570046</x:v>
      </x:c>
      <x:c r="I64" s="14" t="n">
        <x:v>264.01</x:v>
      </x:c>
      <x:c r="J64" s="16"/>
      <x:c r="K64" s="16"/>
      <x:c r="L64" s="16"/>
      <x:c r="M64" s="16" t="n">
        <x:v>43291</x:v>
      </x:c>
      <x:c r="N64" s="16" t="n">
        <x:v>25300</x:v>
      </x:c>
      <x:c r="O64" s="16"/>
      <x:c r="P64" s="16"/>
      <x:c r="Q64" s="16" t="n">
        <x:v>249300</x:v>
      </x:c>
      <x:c r="R64" s="16"/>
      <x:c r="S64" s="16"/>
      <x:c r="T64" s="16"/>
      <x:c r="U64" s="16"/>
      <x:c r="V64" s="16"/>
      <x:c r="W64" s="16"/>
      <x:c r="X64" t="str">
        <x:v>https://tjgb.hongheiku.com/xjtjgb/xj2020/70172.html</x:v>
      </x:c>
      <x:c r="Y64" t="str">
        <x:v>https://tjgb.hongheiku.com/xjtjgb/xj2020/70172.html</x:v>
      </x:c>
      <x:c r="Z64" t="str">
        <x:v>https://tjgb.hongheiku.com/xjtjgb/xj2020/70172.html</x:v>
      </x:c>
      <x:c r="AA64" t="str"/>
      <x:c r="AB64" t="n">
        <x:f>COUNT(D64:W64)</x:f>
        <x:v>7</x:v>
      </x:c>
    </x:row>
    <x:row r="65" ht="21" customHeight="1">
      <x:c r="A65" t="str">
        <x:v>吉安市</x:v>
      </x:c>
      <x:c r="B65" t="str">
        <x:v>遂川县</x:v>
      </x:c>
      <x:c r="C65" t="str">
        <x:v>县</x:v>
      </x:c>
      <x:c r="D65" s="12" t="n">
        <x:v>483636</x:v>
      </x:c>
      <x:c r="E65" s="12" t="n">
        <x:v>213537</x:v>
      </x:c>
      <x:c r="F65" s="12" t="n">
        <x:v>107329</x:v>
      </x:c>
      <x:c r="G65" s="12" t="n">
        <x:v>72055</x:v>
      </x:c>
      <x:c r="H65" s="12"/>
      <x:c r="I65" s="14" t="n">
        <x:v>274.3</x:v>
      </x:c>
      <x:c r="J65" s="16" t="n">
        <x:v>4412</x:v>
      </x:c>
      <x:c r="K65" s="16" t="n">
        <x:v>1867</x:v>
      </x:c>
      <x:c r="L65" s="16" t="n">
        <x:v>1109</x:v>
      </x:c>
      <x:c r="M65" s="16" t="n">
        <x:v>40603</x:v>
      </x:c>
      <x:c r="N65" s="16" t="n">
        <x:v>20334</x:v>
      </x:c>
      <x:c r="O65" s="16" t="n">
        <x:v>98193</x:v>
      </x:c>
      <x:c r="P65" s="16"/>
      <x:c r="Q65" s="16" t="n">
        <x:v>301228</x:v>
      </x:c>
      <x:c r="R65" s="16"/>
      <x:c r="S65" s="16"/>
      <x:c r="T65" s="16"/>
      <x:c r="U65" s="16"/>
      <x:c r="V65" s="16"/>
      <x:c r="W65" s="16"/>
      <x:c r="X65" t="str">
        <x:v>https://tjgb.hongheiku.com/xjtjgb/xj2020/73392.html</x:v>
      </x:c>
      <x:c r="Y65" t="str">
        <x:v>https://tjgb.hongheiku.com/xjtjgb/xj2020/73392.html</x:v>
      </x:c>
      <x:c r="Z65" t="str">
        <x:v>https://tjgb.hongheiku.com/xjtjgb/xj2020/73392.html</x:v>
      </x:c>
      <x:c r="AA65" t="str">
        <x:v>县级2025统计公报。F/G为常住人口年龄结构；养老金参保人数不等于待遇领取人数。</x:v>
      </x:c>
      <x:c r="AB65" t="n">
        <x:f>COUNT(D65:W65)</x:f>
        <x:v>12</x:v>
      </x:c>
    </x:row>
    <x:row r="66" ht="21" customHeight="1">
      <x:c r="A66" t="str">
        <x:v>吉安市</x:v>
      </x:c>
      <x:c r="B66" t="str">
        <x:v>万安县</x:v>
      </x:c>
      <x:c r="C66" t="str">
        <x:v>县</x:v>
      </x:c>
      <x:c r="D66" s="12"/>
      <x:c r="E66" s="12"/>
      <x:c r="F66" s="12"/>
      <x:c r="G66" s="12"/>
      <x:c r="H66" s="12"/>
      <x:c r="I66" s="14"/>
      <x:c r="J66" s="16"/>
      <x:c r="K66" s="16"/>
      <x:c r="L66" s="16"/>
      <x:c r="M66" s="16"/>
      <x:c r="N66" s="16"/>
      <x:c r="O66" s="16"/>
      <x:c r="P66" s="16"/>
      <x:c r="Q66" s="16"/>
      <x:c r="R66" s="16"/>
      <x:c r="S66" s="16"/>
      <x:c r="T66" s="16"/>
      <x:c r="U66" s="16"/>
      <x:c r="V66" s="16"/>
      <x:c r="W66" s="16"/>
      <x:c r="X66" t="str"/>
      <x:c r="Y66" t="str"/>
      <x:c r="Z66" t="str"/>
      <x:c r="AA66" t="str">
        <x:v>2025年该区县公开指标尚未录入；空值不代表零。</x:v>
      </x:c>
      <x:c r="AB66" t="n">
        <x:f>COUNT(D66:W66)</x:f>
        <x:v>0</x:v>
      </x:c>
    </x:row>
    <x:row r="67" ht="21" customHeight="1">
      <x:c r="A67" t="str">
        <x:v>吉安市</x:v>
      </x:c>
      <x:c r="B67" t="str">
        <x:v>安福县</x:v>
      </x:c>
      <x:c r="C67" t="str">
        <x:v>县</x:v>
      </x:c>
      <x:c r="D67" s="12"/>
      <x:c r="E67" s="12"/>
      <x:c r="F67" s="12"/>
      <x:c r="G67" s="12"/>
      <x:c r="H67" s="12"/>
      <x:c r="I67" s="14"/>
      <x:c r="J67" s="16"/>
      <x:c r="K67" s="16"/>
      <x:c r="L67" s="16"/>
      <x:c r="M67" s="16"/>
      <x:c r="N67" s="16"/>
      <x:c r="O67" s="16"/>
      <x:c r="P67" s="16"/>
      <x:c r="Q67" s="16"/>
      <x:c r="R67" s="16"/>
      <x:c r="S67" s="16"/>
      <x:c r="T67" s="16"/>
      <x:c r="U67" s="16"/>
      <x:c r="V67" s="16"/>
      <x:c r="W67" s="16"/>
      <x:c r="X67" t="str"/>
      <x:c r="Y67" t="str"/>
      <x:c r="Z67" t="str"/>
      <x:c r="AA67" t="str">
        <x:v>2025年该区县公开指标尚未录入；空值不代表零。</x:v>
      </x:c>
      <x:c r="AB67" t="n">
        <x:f>COUNT(D67:W67)</x:f>
        <x:v>0</x:v>
      </x:c>
    </x:row>
    <x:row r="68" ht="21" customHeight="1">
      <x:c r="A68" t="str">
        <x:v>吉安市</x:v>
      </x:c>
      <x:c r="B68" t="str">
        <x:v>永新县</x:v>
      </x:c>
      <x:c r="C68" t="str">
        <x:v>县</x:v>
      </x:c>
      <x:c r="D68" s="12"/>
      <x:c r="E68" s="12"/>
      <x:c r="F68" s="12"/>
      <x:c r="G68" s="12"/>
      <x:c r="H68" s="12"/>
      <x:c r="I68" s="14"/>
      <x:c r="J68" s="16"/>
      <x:c r="K68" s="16"/>
      <x:c r="L68" s="16"/>
      <x:c r="M68" s="16"/>
      <x:c r="N68" s="16"/>
      <x:c r="O68" s="16"/>
      <x:c r="P68" s="16"/>
      <x:c r="Q68" s="16"/>
      <x:c r="R68" s="16"/>
      <x:c r="S68" s="16"/>
      <x:c r="T68" s="16"/>
      <x:c r="U68" s="16"/>
      <x:c r="V68" s="16"/>
      <x:c r="W68" s="16"/>
      <x:c r="X68" t="str"/>
      <x:c r="Y68" t="str"/>
      <x:c r="Z68" t="str"/>
      <x:c r="AA68" t="str">
        <x:v>2025年该区县公开指标尚未录入；空值不代表零。</x:v>
      </x:c>
      <x:c r="AB68" t="n">
        <x:f>COUNT(D68:W68)</x:f>
        <x:v>0</x:v>
      </x:c>
    </x:row>
    <x:row r="69" ht="21" customHeight="1">
      <x:c r="A69" t="str">
        <x:v>宜春市</x:v>
      </x:c>
      <x:c r="B69" t="str">
        <x:v>袁州区</x:v>
      </x:c>
      <x:c r="C69" t="str">
        <x:v>区</x:v>
      </x:c>
      <x:c r="D69" s="12"/>
      <x:c r="E69" s="12"/>
      <x:c r="F69" s="12"/>
      <x:c r="G69" s="12"/>
      <x:c r="H69" s="12"/>
      <x:c r="I69" s="14"/>
      <x:c r="J69" s="16"/>
      <x:c r="K69" s="16"/>
      <x:c r="L69" s="16"/>
      <x:c r="M69" s="16"/>
      <x:c r="N69" s="16"/>
      <x:c r="O69" s="16"/>
      <x:c r="P69" s="16"/>
      <x:c r="Q69" s="16"/>
      <x:c r="R69" s="16"/>
      <x:c r="S69" s="16"/>
      <x:c r="T69" s="16"/>
      <x:c r="U69" s="16"/>
      <x:c r="V69" s="16"/>
      <x:c r="W69" s="16"/>
      <x:c r="X69" t="str"/>
      <x:c r="Y69" t="str"/>
      <x:c r="Z69" t="str"/>
      <x:c r="AA69" t="str">
        <x:v>2025年该区县公开指标尚未录入；空值不代表零。</x:v>
      </x:c>
      <x:c r="AB69" t="n">
        <x:f>COUNT(D69:W69)</x:f>
        <x:v>0</x:v>
      </x:c>
    </x:row>
    <x:row r="70" ht="21" customHeight="1">
      <x:c r="A70" t="str">
        <x:v>宜春市</x:v>
      </x:c>
      <x:c r="B70" t="str">
        <x:v>丰城市</x:v>
      </x:c>
      <x:c r="C70" t="str">
        <x:v>县级市</x:v>
      </x:c>
      <x:c r="D70" s="12"/>
      <x:c r="E70" s="12"/>
      <x:c r="F70" s="12"/>
      <x:c r="G70" s="12"/>
      <x:c r="H70" s="12"/>
      <x:c r="I70" s="14"/>
      <x:c r="J70" s="16"/>
      <x:c r="K70" s="16"/>
      <x:c r="L70" s="16"/>
      <x:c r="M70" s="16"/>
      <x:c r="N70" s="16"/>
      <x:c r="O70" s="16"/>
      <x:c r="P70" s="16"/>
      <x:c r="Q70" s="16"/>
      <x:c r="R70" s="16"/>
      <x:c r="S70" s="16"/>
      <x:c r="T70" s="16"/>
      <x:c r="U70" s="16"/>
      <x:c r="V70" s="16"/>
      <x:c r="W70" s="16"/>
      <x:c r="X70" t="str"/>
      <x:c r="Y70" t="str"/>
      <x:c r="Z70" t="str"/>
      <x:c r="AA70" t="str">
        <x:v>2025年该区县公开指标尚未录入；空值不代表零。</x:v>
      </x:c>
      <x:c r="AB70" t="n">
        <x:f>COUNT(D70:W70)</x:f>
        <x:v>0</x:v>
      </x:c>
    </x:row>
    <x:row r="71" ht="21" customHeight="1">
      <x:c r="A71" t="str">
        <x:v>宜春市</x:v>
      </x:c>
      <x:c r="B71" t="str">
        <x:v>樟树市</x:v>
      </x:c>
      <x:c r="C71" t="str">
        <x:v>县级市</x:v>
      </x:c>
      <x:c r="D71" s="12"/>
      <x:c r="E71" s="12"/>
      <x:c r="F71" s="12"/>
      <x:c r="G71" s="12"/>
      <x:c r="H71" s="12"/>
      <x:c r="I71" s="14"/>
      <x:c r="J71" s="16"/>
      <x:c r="K71" s="16"/>
      <x:c r="L71" s="16"/>
      <x:c r="M71" s="16"/>
      <x:c r="N71" s="16"/>
      <x:c r="O71" s="16"/>
      <x:c r="P71" s="16"/>
      <x:c r="Q71" s="16"/>
      <x:c r="R71" s="16"/>
      <x:c r="S71" s="16"/>
      <x:c r="T71" s="16"/>
      <x:c r="U71" s="16"/>
      <x:c r="V71" s="16"/>
      <x:c r="W71" s="16"/>
      <x:c r="X71" t="str"/>
      <x:c r="Y71" t="str"/>
      <x:c r="Z71" t="str"/>
      <x:c r="AA71" t="str">
        <x:v>2025年该区县公开指标尚未录入；空值不代表零。</x:v>
      </x:c>
      <x:c r="AB71" t="n">
        <x:f>COUNT(D71:W71)</x:f>
        <x:v>0</x:v>
      </x:c>
    </x:row>
    <x:row r="72" ht="21" customHeight="1">
      <x:c r="A72" t="str">
        <x:v>宜春市</x:v>
      </x:c>
      <x:c r="B72" t="str">
        <x:v>高安市</x:v>
      </x:c>
      <x:c r="C72" t="str">
        <x:v>县级市</x:v>
      </x:c>
      <x:c r="D72" s="12"/>
      <x:c r="E72" s="12"/>
      <x:c r="F72" s="12"/>
      <x:c r="G72" s="12"/>
      <x:c r="H72" s="12"/>
      <x:c r="I72" s="14"/>
      <x:c r="J72" s="16"/>
      <x:c r="K72" s="16"/>
      <x:c r="L72" s="16"/>
      <x:c r="M72" s="16"/>
      <x:c r="N72" s="16"/>
      <x:c r="O72" s="16"/>
      <x:c r="P72" s="16"/>
      <x:c r="Q72" s="16"/>
      <x:c r="R72" s="16"/>
      <x:c r="S72" s="16"/>
      <x:c r="T72" s="16"/>
      <x:c r="U72" s="16"/>
      <x:c r="V72" s="16"/>
      <x:c r="W72" s="16"/>
      <x:c r="X72" t="str"/>
      <x:c r="Y72" t="str"/>
      <x:c r="Z72" t="str"/>
      <x:c r="AA72" t="str">
        <x:v>2025年该区县公开指标尚未录入；空值不代表零。</x:v>
      </x:c>
      <x:c r="AB72" t="n">
        <x:f>COUNT(D72:W72)</x:f>
        <x:v>0</x:v>
      </x:c>
    </x:row>
    <x:row r="73" ht="21" customHeight="1">
      <x:c r="A73" t="str">
        <x:v>宜春市</x:v>
      </x:c>
      <x:c r="B73" t="str">
        <x:v>奉新县</x:v>
      </x:c>
      <x:c r="C73" t="str">
        <x:v>县</x:v>
      </x:c>
      <x:c r="D73" s="12" t="n">
        <x:v>255823</x:v>
      </x:c>
      <x:c r="E73" s="12" t="n">
        <x:v>164095</x:v>
      </x:c>
      <x:c r="F73" s="12" t="n">
        <x:v>58354</x:v>
      </x:c>
      <x:c r="G73" s="12" t="n">
        <x:v>39759</x:v>
      </x:c>
      <x:c r="H73" s="12" t="n">
        <x:v>326894</x:v>
      </x:c>
      <x:c r="I73" s="14" t="n">
        <x:v>274.2771</x:v>
      </x:c>
      <x:c r="J73" s="16"/>
      <x:c r="K73" s="16"/>
      <x:c r="L73" s="16"/>
      <x:c r="M73" s="16"/>
      <x:c r="N73" s="16"/>
      <x:c r="O73" s="16"/>
      <x:c r="P73" s="16"/>
      <x:c r="Q73" s="16"/>
      <x:c r="R73" s="16"/>
      <x:c r="S73" s="16"/>
      <x:c r="T73" s="16"/>
      <x:c r="U73" s="16"/>
      <x:c r="V73" s="16"/>
      <x:c r="W73" s="16"/>
      <x:c r="X73" t="str">
        <x:v>https://tjgb.hongheiku.com/xjtjgb/xj2020/79426.html</x:v>
      </x:c>
      <x:c r="Y73" t="str">
        <x:v>https://tjgb.hongheiku.com/xjtjgb/xj2020/79426.html</x:v>
      </x:c>
      <x:c r="Z73" t="str">
        <x:v>https://tjgb.hongheiku.com/xjtjgb/xj2020/79426.html</x:v>
      </x:c>
      <x:c r="AA73" t="str">
        <x:v>GDP原报告单位万元，已换算为亿元（2742771万元=274.2771亿元）。</x:v>
      </x:c>
      <x:c r="AB73" t="n">
        <x:f>COUNT(D73:W73)</x:f>
        <x:v>6</x:v>
      </x:c>
    </x:row>
    <x:row r="74" ht="21" customHeight="1">
      <x:c r="A74" t="str">
        <x:v>宜春市</x:v>
      </x:c>
      <x:c r="B74" t="str">
        <x:v>万载县</x:v>
      </x:c>
      <x:c r="C74" t="str">
        <x:v>县</x:v>
      </x:c>
      <x:c r="D74" s="12"/>
      <x:c r="E74" s="12"/>
      <x:c r="F74" s="12"/>
      <x:c r="G74" s="12"/>
      <x:c r="H74" s="12"/>
      <x:c r="I74" s="14"/>
      <x:c r="J74" s="16"/>
      <x:c r="K74" s="16"/>
      <x:c r="L74" s="16"/>
      <x:c r="M74" s="16"/>
      <x:c r="N74" s="16"/>
      <x:c r="O74" s="16"/>
      <x:c r="P74" s="16"/>
      <x:c r="Q74" s="16"/>
      <x:c r="R74" s="16"/>
      <x:c r="S74" s="16"/>
      <x:c r="T74" s="16"/>
      <x:c r="U74" s="16"/>
      <x:c r="V74" s="16"/>
      <x:c r="W74" s="16"/>
      <x:c r="X74" t="str"/>
      <x:c r="Y74" t="str"/>
      <x:c r="Z74" t="str"/>
      <x:c r="AA74" t="str">
        <x:v>2025年该区县公开指标尚未录入；空值不代表零。</x:v>
      </x:c>
      <x:c r="AB74" t="n">
        <x:f>COUNT(D74:W74)</x:f>
        <x:v>0</x:v>
      </x:c>
    </x:row>
    <x:row r="75" ht="21" customHeight="1">
      <x:c r="A75" t="str">
        <x:v>宜春市</x:v>
      </x:c>
      <x:c r="B75" t="str">
        <x:v>上高县</x:v>
      </x:c>
      <x:c r="C75" t="str">
        <x:v>县</x:v>
      </x:c>
      <x:c r="D75" s="12"/>
      <x:c r="E75" s="12"/>
      <x:c r="F75" s="12"/>
      <x:c r="G75" s="12"/>
      <x:c r="H75" s="12"/>
      <x:c r="I75" s="14"/>
      <x:c r="J75" s="16"/>
      <x:c r="K75" s="16"/>
      <x:c r="L75" s="16"/>
      <x:c r="M75" s="16"/>
      <x:c r="N75" s="16"/>
      <x:c r="O75" s="16"/>
      <x:c r="P75" s="16"/>
      <x:c r="Q75" s="16"/>
      <x:c r="R75" s="16"/>
      <x:c r="S75" s="16"/>
      <x:c r="T75" s="16"/>
      <x:c r="U75" s="16"/>
      <x:c r="V75" s="16"/>
      <x:c r="W75" s="16"/>
      <x:c r="X75" t="str"/>
      <x:c r="Y75" t="str"/>
      <x:c r="Z75" t="str"/>
      <x:c r="AA75" t="str">
        <x:v>2025年该区县公开指标尚未录入；空值不代表零。</x:v>
      </x:c>
      <x:c r="AB75" t="n">
        <x:f>COUNT(D75:W75)</x:f>
        <x:v>0</x:v>
      </x:c>
    </x:row>
    <x:row r="76" ht="21" customHeight="1">
      <x:c r="A76" t="str">
        <x:v>宜春市</x:v>
      </x:c>
      <x:c r="B76" t="str">
        <x:v>宜丰县</x:v>
      </x:c>
      <x:c r="C76" t="str">
        <x:v>县</x:v>
      </x:c>
      <x:c r="D76" s="12"/>
      <x:c r="E76" s="12"/>
      <x:c r="F76" s="12"/>
      <x:c r="G76" s="12"/>
      <x:c r="H76" s="12"/>
      <x:c r="I76" s="14"/>
      <x:c r="J76" s="16"/>
      <x:c r="K76" s="16"/>
      <x:c r="L76" s="16"/>
      <x:c r="M76" s="16"/>
      <x:c r="N76" s="16"/>
      <x:c r="O76" s="16"/>
      <x:c r="P76" s="16"/>
      <x:c r="Q76" s="16"/>
      <x:c r="R76" s="16"/>
      <x:c r="S76" s="16"/>
      <x:c r="T76" s="16"/>
      <x:c r="U76" s="16"/>
      <x:c r="V76" s="16"/>
      <x:c r="W76" s="16"/>
      <x:c r="X76" t="str"/>
      <x:c r="Y76" t="str"/>
      <x:c r="Z76" t="str"/>
      <x:c r="AA76" t="str">
        <x:v>2025年该区县公开指标尚未录入；空值不代表零。</x:v>
      </x:c>
      <x:c r="AB76" t="n">
        <x:f>COUNT(D76:W76)</x:f>
        <x:v>0</x:v>
      </x:c>
    </x:row>
    <x:row r="77" ht="21" customHeight="1">
      <x:c r="A77" t="str">
        <x:v>宜春市</x:v>
      </x:c>
      <x:c r="B77" t="str">
        <x:v>靖安县</x:v>
      </x:c>
      <x:c r="C77" t="str">
        <x:v>县</x:v>
      </x:c>
      <x:c r="D77" s="12"/>
      <x:c r="E77" s="12"/>
      <x:c r="F77" s="12"/>
      <x:c r="G77" s="12"/>
      <x:c r="H77" s="12"/>
      <x:c r="I77" s="14"/>
      <x:c r="J77" s="16"/>
      <x:c r="K77" s="16"/>
      <x:c r="L77" s="16"/>
      <x:c r="M77" s="16"/>
      <x:c r="N77" s="16"/>
      <x:c r="O77" s="16"/>
      <x:c r="P77" s="16"/>
      <x:c r="Q77" s="16"/>
      <x:c r="R77" s="16"/>
      <x:c r="S77" s="16"/>
      <x:c r="T77" s="16"/>
      <x:c r="U77" s="16"/>
      <x:c r="V77" s="16"/>
      <x:c r="W77" s="16"/>
      <x:c r="X77" t="str"/>
      <x:c r="Y77" t="str"/>
      <x:c r="Z77" t="str"/>
      <x:c r="AA77" t="str">
        <x:v>2025年该区县公开指标尚未录入；空值不代表零。</x:v>
      </x:c>
      <x:c r="AB77" t="n">
        <x:f>COUNT(D77:W77)</x:f>
        <x:v>0</x:v>
      </x:c>
    </x:row>
    <x:row r="78" ht="21" customHeight="1">
      <x:c r="A78" t="str">
        <x:v>宜春市</x:v>
      </x:c>
      <x:c r="B78" t="str">
        <x:v>铜鼓县</x:v>
      </x:c>
      <x:c r="C78" t="str">
        <x:v>县</x:v>
      </x:c>
      <x:c r="D78" s="12"/>
      <x:c r="E78" s="12"/>
      <x:c r="F78" s="12"/>
      <x:c r="G78" s="12"/>
      <x:c r="H78" s="12"/>
      <x:c r="I78" s="14"/>
      <x:c r="J78" s="16"/>
      <x:c r="K78" s="16"/>
      <x:c r="L78" s="16"/>
      <x:c r="M78" s="16"/>
      <x:c r="N78" s="16"/>
      <x:c r="O78" s="16"/>
      <x:c r="P78" s="16"/>
      <x:c r="Q78" s="16"/>
      <x:c r="R78" s="16"/>
      <x:c r="S78" s="16"/>
      <x:c r="T78" s="16"/>
      <x:c r="U78" s="16"/>
      <x:c r="V78" s="16"/>
      <x:c r="W78" s="16"/>
      <x:c r="X78" t="str"/>
      <x:c r="Y78" t="str"/>
      <x:c r="Z78" t="str"/>
      <x:c r="AA78" t="str">
        <x:v>2025年该区县公开指标尚未录入；空值不代表零。</x:v>
      </x:c>
      <x:c r="AB78" t="n">
        <x:f>COUNT(D78:W78)</x:f>
        <x:v>0</x:v>
      </x:c>
    </x:row>
    <x:row r="79" ht="21" customHeight="1">
      <x:c r="A79" t="str">
        <x:v>抚州市</x:v>
      </x:c>
      <x:c r="B79" t="str">
        <x:v>临川区</x:v>
      </x:c>
      <x:c r="C79" t="str">
        <x:v>区</x:v>
      </x:c>
      <x:c r="D79" s="12"/>
      <x:c r="E79" s="12"/>
      <x:c r="F79" s="12"/>
      <x:c r="G79" s="12"/>
      <x:c r="H79" s="12"/>
      <x:c r="I79" s="14"/>
      <x:c r="J79" s="16"/>
      <x:c r="K79" s="16"/>
      <x:c r="L79" s="16"/>
      <x:c r="M79" s="16"/>
      <x:c r="N79" s="16"/>
      <x:c r="O79" s="16"/>
      <x:c r="P79" s="16"/>
      <x:c r="Q79" s="16"/>
      <x:c r="R79" s="16"/>
      <x:c r="S79" s="16"/>
      <x:c r="T79" s="16"/>
      <x:c r="U79" s="16"/>
      <x:c r="V79" s="16"/>
      <x:c r="W79" s="16"/>
      <x:c r="X79" t="str"/>
      <x:c r="Y79" t="str"/>
      <x:c r="Z79" t="str"/>
      <x:c r="AA79" t="str">
        <x:v>2025年该区县公开指标尚未录入；空值不代表零。</x:v>
      </x:c>
      <x:c r="AB79" t="n">
        <x:f>COUNT(D79:W79)</x:f>
        <x:v>0</x:v>
      </x:c>
    </x:row>
    <x:row r="80" ht="21" customHeight="1">
      <x:c r="A80" t="str">
        <x:v>抚州市</x:v>
      </x:c>
      <x:c r="B80" t="str">
        <x:v>东乡区</x:v>
      </x:c>
      <x:c r="C80" t="str">
        <x:v>区</x:v>
      </x:c>
      <x:c r="D80" s="12"/>
      <x:c r="E80" s="12"/>
      <x:c r="F80" s="12"/>
      <x:c r="G80" s="12"/>
      <x:c r="H80" s="12"/>
      <x:c r="I80" s="14"/>
      <x:c r="J80" s="16"/>
      <x:c r="K80" s="16"/>
      <x:c r="L80" s="16"/>
      <x:c r="M80" s="16"/>
      <x:c r="N80" s="16"/>
      <x:c r="O80" s="16"/>
      <x:c r="P80" s="16"/>
      <x:c r="Q80" s="16"/>
      <x:c r="R80" s="16"/>
      <x:c r="S80" s="16"/>
      <x:c r="T80" s="16"/>
      <x:c r="U80" s="16"/>
      <x:c r="V80" s="16"/>
      <x:c r="W80" s="16"/>
      <x:c r="X80" t="str"/>
      <x:c r="Y80" t="str"/>
      <x:c r="Z80" t="str"/>
      <x:c r="AA80" t="str">
        <x:v>2025年该区县公开指标尚未录入；空值不代表零。</x:v>
      </x:c>
      <x:c r="AB80" t="n">
        <x:f>COUNT(D80:W80)</x:f>
        <x:v>0</x:v>
      </x:c>
    </x:row>
    <x:row r="81" ht="21" customHeight="1">
      <x:c r="A81" t="str">
        <x:v>抚州市</x:v>
      </x:c>
      <x:c r="B81" t="str">
        <x:v>南城县</x:v>
      </x:c>
      <x:c r="C81" t="str">
        <x:v>县</x:v>
      </x:c>
      <x:c r="D81" s="12"/>
      <x:c r="E81" s="12"/>
      <x:c r="F81" s="12"/>
      <x:c r="G81" s="12"/>
      <x:c r="H81" s="12"/>
      <x:c r="I81" s="14"/>
      <x:c r="J81" s="16"/>
      <x:c r="K81" s="16"/>
      <x:c r="L81" s="16"/>
      <x:c r="M81" s="16"/>
      <x:c r="N81" s="16"/>
      <x:c r="O81" s="16"/>
      <x:c r="P81" s="16"/>
      <x:c r="Q81" s="16"/>
      <x:c r="R81" s="16"/>
      <x:c r="S81" s="16"/>
      <x:c r="T81" s="16"/>
      <x:c r="U81" s="16"/>
      <x:c r="V81" s="16"/>
      <x:c r="W81" s="16"/>
      <x:c r="X81" t="str"/>
      <x:c r="Y81" t="str"/>
      <x:c r="Z81" t="str"/>
      <x:c r="AA81" t="str">
        <x:v>2025年该区县公开指标尚未录入；空值不代表零。</x:v>
      </x:c>
      <x:c r="AB81" t="n">
        <x:f>COUNT(D81:W81)</x:f>
        <x:v>0</x:v>
      </x:c>
    </x:row>
    <x:row r="82" ht="21" customHeight="1">
      <x:c r="A82" t="str">
        <x:v>抚州市</x:v>
      </x:c>
      <x:c r="B82" t="str">
        <x:v>黎川县</x:v>
      </x:c>
      <x:c r="C82" t="str">
        <x:v>县</x:v>
      </x:c>
      <x:c r="D82" s="12"/>
      <x:c r="E82" s="12"/>
      <x:c r="F82" s="12"/>
      <x:c r="G82" s="12"/>
      <x:c r="H82" s="12"/>
      <x:c r="I82" s="14"/>
      <x:c r="J82" s="16"/>
      <x:c r="K82" s="16"/>
      <x:c r="L82" s="16"/>
      <x:c r="M82" s="16"/>
      <x:c r="N82" s="16"/>
      <x:c r="O82" s="16"/>
      <x:c r="P82" s="16"/>
      <x:c r="Q82" s="16"/>
      <x:c r="R82" s="16"/>
      <x:c r="S82" s="16"/>
      <x:c r="T82" s="16"/>
      <x:c r="U82" s="16"/>
      <x:c r="V82" s="16"/>
      <x:c r="W82" s="16"/>
      <x:c r="X82" t="str"/>
      <x:c r="Y82" t="str"/>
      <x:c r="Z82" t="str"/>
      <x:c r="AA82" t="str">
        <x:v>2025年该区县公开指标尚未录入；空值不代表零。</x:v>
      </x:c>
      <x:c r="AB82" t="n">
        <x:f>COUNT(D82:W82)</x:f>
        <x:v>0</x:v>
      </x:c>
    </x:row>
    <x:row r="83" ht="21" customHeight="1">
      <x:c r="A83" t="str">
        <x:v>抚州市</x:v>
      </x:c>
      <x:c r="B83" t="str">
        <x:v>南丰县</x:v>
      </x:c>
      <x:c r="C83" t="str">
        <x:v>县</x:v>
      </x:c>
      <x:c r="D83" s="12"/>
      <x:c r="E83" s="12"/>
      <x:c r="F83" s="12"/>
      <x:c r="G83" s="12"/>
      <x:c r="H83" s="12"/>
      <x:c r="I83" s="14"/>
      <x:c r="J83" s="16"/>
      <x:c r="K83" s="16"/>
      <x:c r="L83" s="16"/>
      <x:c r="M83" s="16"/>
      <x:c r="N83" s="16"/>
      <x:c r="O83" s="16"/>
      <x:c r="P83" s="16"/>
      <x:c r="Q83" s="16"/>
      <x:c r="R83" s="16"/>
      <x:c r="S83" s="16"/>
      <x:c r="T83" s="16"/>
      <x:c r="U83" s="16"/>
      <x:c r="V83" s="16"/>
      <x:c r="W83" s="16"/>
      <x:c r="X83" t="str"/>
      <x:c r="Y83" t="str"/>
      <x:c r="Z83" t="str"/>
      <x:c r="AA83" t="str">
        <x:v>2025年该区县公开指标尚未录入；空值不代表零。</x:v>
      </x:c>
      <x:c r="AB83" t="n">
        <x:f>COUNT(D83:W83)</x:f>
        <x:v>0</x:v>
      </x:c>
    </x:row>
    <x:row r="84" ht="21" customHeight="1">
      <x:c r="A84" t="str">
        <x:v>抚州市</x:v>
      </x:c>
      <x:c r="B84" t="str">
        <x:v>崇仁县</x:v>
      </x:c>
      <x:c r="C84" t="str">
        <x:v>县</x:v>
      </x:c>
      <x:c r="D84" s="12"/>
      <x:c r="E84" s="12"/>
      <x:c r="F84" s="12"/>
      <x:c r="G84" s="12"/>
      <x:c r="H84" s="12"/>
      <x:c r="I84" s="14"/>
      <x:c r="J84" s="16"/>
      <x:c r="K84" s="16"/>
      <x:c r="L84" s="16"/>
      <x:c r="M84" s="16"/>
      <x:c r="N84" s="16"/>
      <x:c r="O84" s="16"/>
      <x:c r="P84" s="16"/>
      <x:c r="Q84" s="16"/>
      <x:c r="R84" s="16"/>
      <x:c r="S84" s="16"/>
      <x:c r="T84" s="16"/>
      <x:c r="U84" s="16"/>
      <x:c r="V84" s="16"/>
      <x:c r="W84" s="16"/>
      <x:c r="X84" t="str"/>
      <x:c r="Y84" t="str"/>
      <x:c r="Z84" t="str"/>
      <x:c r="AA84" t="str">
        <x:v>2025年该区县公开指标尚未录入；空值不代表零。</x:v>
      </x:c>
      <x:c r="AB84" t="n">
        <x:f>COUNT(D84:W84)</x:f>
        <x:v>0</x:v>
      </x:c>
    </x:row>
    <x:row r="85" ht="21" customHeight="1">
      <x:c r="A85" t="str">
        <x:v>抚州市</x:v>
      </x:c>
      <x:c r="B85" t="str">
        <x:v>乐安县</x:v>
      </x:c>
      <x:c r="C85" t="str">
        <x:v>县</x:v>
      </x:c>
      <x:c r="D85" s="12"/>
      <x:c r="E85" s="12"/>
      <x:c r="F85" s="12"/>
      <x:c r="G85" s="12"/>
      <x:c r="H85" s="12"/>
      <x:c r="I85" s="14"/>
      <x:c r="J85" s="16"/>
      <x:c r="K85" s="16"/>
      <x:c r="L85" s="16"/>
      <x:c r="M85" s="16"/>
      <x:c r="N85" s="16"/>
      <x:c r="O85" s="16"/>
      <x:c r="P85" s="16"/>
      <x:c r="Q85" s="16"/>
      <x:c r="R85" s="16"/>
      <x:c r="S85" s="16"/>
      <x:c r="T85" s="16"/>
      <x:c r="U85" s="16"/>
      <x:c r="V85" s="16"/>
      <x:c r="W85" s="16"/>
      <x:c r="X85" t="str"/>
      <x:c r="Y85" t="str"/>
      <x:c r="Z85" t="str"/>
      <x:c r="AA85" t="str">
        <x:v>2025年该区县公开指标尚未录入；空值不代表零。</x:v>
      </x:c>
      <x:c r="AB85" t="n">
        <x:f>COUNT(D85:W85)</x:f>
        <x:v>0</x:v>
      </x:c>
    </x:row>
    <x:row r="86" ht="21" customHeight="1">
      <x:c r="A86" t="str">
        <x:v>抚州市</x:v>
      </x:c>
      <x:c r="B86" t="str">
        <x:v>宜黄县</x:v>
      </x:c>
      <x:c r="C86" t="str">
        <x:v>县</x:v>
      </x:c>
      <x:c r="D86" s="12"/>
      <x:c r="E86" s="12"/>
      <x:c r="F86" s="12"/>
      <x:c r="G86" s="12"/>
      <x:c r="H86" s="12"/>
      <x:c r="I86" s="14"/>
      <x:c r="J86" s="16"/>
      <x:c r="K86" s="16"/>
      <x:c r="L86" s="16"/>
      <x:c r="M86" s="16"/>
      <x:c r="N86" s="16"/>
      <x:c r="O86" s="16"/>
      <x:c r="P86" s="16"/>
      <x:c r="Q86" s="16"/>
      <x:c r="R86" s="16"/>
      <x:c r="S86" s="16"/>
      <x:c r="T86" s="16"/>
      <x:c r="U86" s="16"/>
      <x:c r="V86" s="16"/>
      <x:c r="W86" s="16"/>
      <x:c r="X86" t="str"/>
      <x:c r="Y86" t="str"/>
      <x:c r="Z86" t="str"/>
      <x:c r="AA86" t="str">
        <x:v>2025年该区县公开指标尚未录入；空值不代表零。</x:v>
      </x:c>
      <x:c r="AB86" t="n">
        <x:f>COUNT(D86:W86)</x:f>
        <x:v>0</x:v>
      </x:c>
    </x:row>
    <x:row r="87" ht="21" customHeight="1">
      <x:c r="A87" t="str">
        <x:v>抚州市</x:v>
      </x:c>
      <x:c r="B87" t="str">
        <x:v>金溪县</x:v>
      </x:c>
      <x:c r="C87" t="str">
        <x:v>县</x:v>
      </x:c>
      <x:c r="D87" s="12"/>
      <x:c r="E87" s="12"/>
      <x:c r="F87" s="12"/>
      <x:c r="G87" s="12"/>
      <x:c r="H87" s="12"/>
      <x:c r="I87" s="14"/>
      <x:c r="J87" s="16"/>
      <x:c r="K87" s="16"/>
      <x:c r="L87" s="16"/>
      <x:c r="M87" s="16"/>
      <x:c r="N87" s="16"/>
      <x:c r="O87" s="16"/>
      <x:c r="P87" s="16"/>
      <x:c r="Q87" s="16"/>
      <x:c r="R87" s="16"/>
      <x:c r="S87" s="16"/>
      <x:c r="T87" s="16"/>
      <x:c r="U87" s="16"/>
      <x:c r="V87" s="16"/>
      <x:c r="W87" s="16"/>
      <x:c r="X87" t="str"/>
      <x:c r="Y87" t="str"/>
      <x:c r="Z87" t="str"/>
      <x:c r="AA87" t="str">
        <x:v>2025年该区县公开指标尚未录入；空值不代表零。</x:v>
      </x:c>
      <x:c r="AB87" t="n">
        <x:f>COUNT(D87:W87)</x:f>
        <x:v>0</x:v>
      </x:c>
    </x:row>
    <x:row r="88" ht="21" customHeight="1">
      <x:c r="A88" t="str">
        <x:v>抚州市</x:v>
      </x:c>
      <x:c r="B88" t="str">
        <x:v>资溪县</x:v>
      </x:c>
      <x:c r="C88" t="str">
        <x:v>县</x:v>
      </x:c>
      <x:c r="D88" s="12"/>
      <x:c r="E88" s="12"/>
      <x:c r="F88" s="12"/>
      <x:c r="G88" s="12"/>
      <x:c r="H88" s="12"/>
      <x:c r="I88" s="14"/>
      <x:c r="J88" s="16"/>
      <x:c r="K88" s="16"/>
      <x:c r="L88" s="16"/>
      <x:c r="M88" s="16"/>
      <x:c r="N88" s="16"/>
      <x:c r="O88" s="16"/>
      <x:c r="P88" s="16"/>
      <x:c r="Q88" s="16"/>
      <x:c r="R88" s="16"/>
      <x:c r="S88" s="16"/>
      <x:c r="T88" s="16"/>
      <x:c r="U88" s="16"/>
      <x:c r="V88" s="16"/>
      <x:c r="W88" s="16"/>
      <x:c r="X88" t="str"/>
      <x:c r="Y88" t="str"/>
      <x:c r="Z88" t="str"/>
      <x:c r="AA88" t="str">
        <x:v>2025年该区县公开指标尚未录入；空值不代表零。</x:v>
      </x:c>
      <x:c r="AB88" t="n">
        <x:f>COUNT(D88:W88)</x:f>
        <x:v>0</x:v>
      </x:c>
    </x:row>
    <x:row r="89" ht="21" customHeight="1">
      <x:c r="A89" t="str">
        <x:v>抚州市</x:v>
      </x:c>
      <x:c r="B89" t="str">
        <x:v>广昌县</x:v>
      </x:c>
      <x:c r="C89" t="str">
        <x:v>县</x:v>
      </x:c>
      <x:c r="D89" s="12"/>
      <x:c r="E89" s="12"/>
      <x:c r="F89" s="12"/>
      <x:c r="G89" s="12"/>
      <x:c r="H89" s="12"/>
      <x:c r="I89" s="14"/>
      <x:c r="J89" s="16"/>
      <x:c r="K89" s="16"/>
      <x:c r="L89" s="16"/>
      <x:c r="M89" s="16"/>
      <x:c r="N89" s="16"/>
      <x:c r="O89" s="16"/>
      <x:c r="P89" s="16"/>
      <x:c r="Q89" s="16"/>
      <x:c r="R89" s="16"/>
      <x:c r="S89" s="16"/>
      <x:c r="T89" s="16"/>
      <x:c r="U89" s="16"/>
      <x:c r="V89" s="16"/>
      <x:c r="W89" s="16"/>
      <x:c r="X89" t="str"/>
      <x:c r="Y89" t="str"/>
      <x:c r="Z89" t="str"/>
      <x:c r="AA89" t="str">
        <x:v>2025年该区县公开指标尚未录入；空值不代表零。</x:v>
      </x:c>
      <x:c r="AB89" t="n">
        <x:f>COUNT(D89:W89)</x:f>
        <x:v>0</x:v>
      </x:c>
    </x:row>
    <x:row r="90" ht="21" customHeight="1">
      <x:c r="A90" t="str">
        <x:v>上饶市</x:v>
      </x:c>
      <x:c r="B90" t="str">
        <x:v>信州区</x:v>
      </x:c>
      <x:c r="C90" t="str">
        <x:v>区</x:v>
      </x:c>
      <x:c r="D90" s="12"/>
      <x:c r="E90" s="12"/>
      <x:c r="F90" s="12"/>
      <x:c r="G90" s="12"/>
      <x:c r="H90" s="12"/>
      <x:c r="I90" s="14"/>
      <x:c r="J90" s="16"/>
      <x:c r="K90" s="16"/>
      <x:c r="L90" s="16"/>
      <x:c r="M90" s="16"/>
      <x:c r="N90" s="16"/>
      <x:c r="O90" s="16"/>
      <x:c r="P90" s="16"/>
      <x:c r="Q90" s="16"/>
      <x:c r="R90" s="16"/>
      <x:c r="S90" s="16"/>
      <x:c r="T90" s="16"/>
      <x:c r="U90" s="16"/>
      <x:c r="V90" s="16"/>
      <x:c r="W90" s="16"/>
      <x:c r="X90" t="str"/>
      <x:c r="Y90" t="str"/>
      <x:c r="Z90" t="str"/>
      <x:c r="AA90" t="str">
        <x:v>2025年该区县公开指标尚未录入；空值不代表零。</x:v>
      </x:c>
      <x:c r="AB90" t="n">
        <x:f>COUNT(D90:W90)</x:f>
        <x:v>0</x:v>
      </x:c>
    </x:row>
    <x:row r="91" ht="21" customHeight="1">
      <x:c r="A91" t="str">
        <x:v>上饶市</x:v>
      </x:c>
      <x:c r="B91" t="str">
        <x:v>广丰区</x:v>
      </x:c>
      <x:c r="C91" t="str">
        <x:v>区</x:v>
      </x:c>
      <x:c r="D91" s="12"/>
      <x:c r="E91" s="12"/>
      <x:c r="F91" s="12"/>
      <x:c r="G91" s="12"/>
      <x:c r="H91" s="12"/>
      <x:c r="I91" s="14"/>
      <x:c r="J91" s="16"/>
      <x:c r="K91" s="16"/>
      <x:c r="L91" s="16"/>
      <x:c r="M91" s="16"/>
      <x:c r="N91" s="16"/>
      <x:c r="O91" s="16"/>
      <x:c r="P91" s="16"/>
      <x:c r="Q91" s="16"/>
      <x:c r="R91" s="16"/>
      <x:c r="S91" s="16"/>
      <x:c r="T91" s="16"/>
      <x:c r="U91" s="16"/>
      <x:c r="V91" s="16"/>
      <x:c r="W91" s="16"/>
      <x:c r="X91" t="str"/>
      <x:c r="Y91" t="str"/>
      <x:c r="Z91" t="str"/>
      <x:c r="AA91" t="str">
        <x:v>2025年该区县公开指标尚未录入；空值不代表零。</x:v>
      </x:c>
      <x:c r="AB91" t="n">
        <x:f>COUNT(D91:W91)</x:f>
        <x:v>0</x:v>
      </x:c>
    </x:row>
    <x:row r="92" ht="21" customHeight="1">
      <x:c r="A92" t="str">
        <x:v>上饶市</x:v>
      </x:c>
      <x:c r="B92" t="str">
        <x:v>广信区</x:v>
      </x:c>
      <x:c r="C92" t="str">
        <x:v>区</x:v>
      </x:c>
      <x:c r="D92" s="12"/>
      <x:c r="E92" s="12"/>
      <x:c r="F92" s="12"/>
      <x:c r="G92" s="12"/>
      <x:c r="H92" s="12"/>
      <x:c r="I92" s="14"/>
      <x:c r="J92" s="16"/>
      <x:c r="K92" s="16"/>
      <x:c r="L92" s="16"/>
      <x:c r="M92" s="16"/>
      <x:c r="N92" s="16"/>
      <x:c r="O92" s="16"/>
      <x:c r="P92" s="16"/>
      <x:c r="Q92" s="16"/>
      <x:c r="R92" s="16"/>
      <x:c r="S92" s="16"/>
      <x:c r="T92" s="16"/>
      <x:c r="U92" s="16"/>
      <x:c r="V92" s="16"/>
      <x:c r="W92" s="16"/>
      <x:c r="X92" t="str"/>
      <x:c r="Y92" t="str"/>
      <x:c r="Z92" t="str"/>
      <x:c r="AA92" t="str">
        <x:v>2025年该区县公开指标尚未录入；空值不代表零。</x:v>
      </x:c>
      <x:c r="AB92" t="n">
        <x:f>COUNT(D92:W92)</x:f>
        <x:v>0</x:v>
      </x:c>
    </x:row>
    <x:row r="93" ht="21" customHeight="1">
      <x:c r="A93" t="str">
        <x:v>上饶市</x:v>
      </x:c>
      <x:c r="B93" t="str">
        <x:v>德兴市</x:v>
      </x:c>
      <x:c r="C93" t="str">
        <x:v>县级市</x:v>
      </x:c>
      <x:c r="D93" s="12"/>
      <x:c r="E93" s="12"/>
      <x:c r="F93" s="12"/>
      <x:c r="G93" s="12"/>
      <x:c r="H93" s="12"/>
      <x:c r="I93" s="14"/>
      <x:c r="J93" s="16"/>
      <x:c r="K93" s="16"/>
      <x:c r="L93" s="16"/>
      <x:c r="M93" s="16"/>
      <x:c r="N93" s="16"/>
      <x:c r="O93" s="16"/>
      <x:c r="P93" s="16"/>
      <x:c r="Q93" s="16"/>
      <x:c r="R93" s="16"/>
      <x:c r="S93" s="16"/>
      <x:c r="T93" s="16"/>
      <x:c r="U93" s="16"/>
      <x:c r="V93" s="16"/>
      <x:c r="W93" s="16"/>
      <x:c r="X93" t="str"/>
      <x:c r="Y93" t="str"/>
      <x:c r="Z93" t="str"/>
      <x:c r="AA93" t="str">
        <x:v>2025年该区县公开指标尚未录入；空值不代表零。</x:v>
      </x:c>
      <x:c r="AB93" t="n">
        <x:f>COUNT(D93:W93)</x:f>
        <x:v>0</x:v>
      </x:c>
    </x:row>
    <x:row r="94" ht="21" customHeight="1">
      <x:c r="A94" t="str">
        <x:v>上饶市</x:v>
      </x:c>
      <x:c r="B94" t="str">
        <x:v>玉山县</x:v>
      </x:c>
      <x:c r="C94" t="str">
        <x:v>县</x:v>
      </x:c>
      <x:c r="D94" s="12" t="n">
        <x:v>494100</x:v>
      </x:c>
      <x:c r="E94" s="12" t="n">
        <x:v>312100</x:v>
      </x:c>
      <x:c r="F94" s="12" t="n">
        <x:v>122600</x:v>
      </x:c>
      <x:c r="G94" s="12" t="n">
        <x:v>86400</x:v>
      </x:c>
      <x:c r="H94" s="12"/>
      <x:c r="I94" s="14" t="n">
        <x:v>335.95</x:v>
      </x:c>
      <x:c r="J94" s="16"/>
      <x:c r="K94" s="16"/>
      <x:c r="L94" s="16"/>
      <x:c r="M94" s="16" t="n">
        <x:v>47226</x:v>
      </x:c>
      <x:c r="N94" s="16" t="n">
        <x:v>25733</x:v>
      </x:c>
      <x:c r="O94" s="16"/>
      <x:c r="P94" s="16"/>
      <x:c r="Q94" s="16"/>
      <x:c r="R94" s="16"/>
      <x:c r="S94" s="16"/>
      <x:c r="T94" s="16"/>
      <x:c r="U94" s="16"/>
      <x:c r="V94" s="16"/>
      <x:c r="W94" s="16"/>
      <x:c r="X94" t="str">
        <x:v>https://www.hongheiku.com/xianjirank/jxsgxsq/11328.html</x:v>
      </x:c>
      <x:c r="Y94" t="str">
        <x:v>https://www.hongheiku.com/xianjirank/jxsgxsq/11328.html</x:v>
      </x:c>
      <x:c r="Z94" t="str">
        <x:v>https://www.hongheiku.com/xianjirank/jxsgxsq/11328.html</x:v>
      </x:c>
      <x:c r="AA94" t="str"/>
      <x:c r="AB94" t="n">
        <x:f>COUNT(D94:W94)</x:f>
        <x:v>7</x:v>
      </x:c>
    </x:row>
    <x:row r="95" ht="21" customHeight="1">
      <x:c r="A95" t="str">
        <x:v>上饶市</x:v>
      </x:c>
      <x:c r="B95" t="str">
        <x:v>铅山县</x:v>
      </x:c>
      <x:c r="C95" t="str">
        <x:v>县</x:v>
      </x:c>
      <x:c r="D95" s="12"/>
      <x:c r="E95" s="12"/>
      <x:c r="F95" s="12"/>
      <x:c r="G95" s="12"/>
      <x:c r="H95" s="12"/>
      <x:c r="I95" s="14"/>
      <x:c r="J95" s="16"/>
      <x:c r="K95" s="16"/>
      <x:c r="L95" s="16"/>
      <x:c r="M95" s="16"/>
      <x:c r="N95" s="16"/>
      <x:c r="O95" s="16"/>
      <x:c r="P95" s="16"/>
      <x:c r="Q95" s="16"/>
      <x:c r="R95" s="16"/>
      <x:c r="S95" s="16"/>
      <x:c r="T95" s="16"/>
      <x:c r="U95" s="16"/>
      <x:c r="V95" s="16"/>
      <x:c r="W95" s="16"/>
      <x:c r="X95" t="str"/>
      <x:c r="Y95" t="str"/>
      <x:c r="Z95" t="str"/>
      <x:c r="AA95" t="str">
        <x:v>2025年该区县公开指标尚未录入；空值不代表零。</x:v>
      </x:c>
      <x:c r="AB95" t="n">
        <x:f>COUNT(D95:W95)</x:f>
        <x:v>0</x:v>
      </x:c>
    </x:row>
    <x:row r="96" ht="21" customHeight="1">
      <x:c r="A96" t="str">
        <x:v>上饶市</x:v>
      </x:c>
      <x:c r="B96" t="str">
        <x:v>横峰县</x:v>
      </x:c>
      <x:c r="C96" t="str">
        <x:v>县</x:v>
      </x:c>
      <x:c r="D96" s="12"/>
      <x:c r="E96" s="12"/>
      <x:c r="F96" s="12"/>
      <x:c r="G96" s="12"/>
      <x:c r="H96" s="12"/>
      <x:c r="I96" s="14"/>
      <x:c r="J96" s="16"/>
      <x:c r="K96" s="16"/>
      <x:c r="L96" s="16"/>
      <x:c r="M96" s="16"/>
      <x:c r="N96" s="16"/>
      <x:c r="O96" s="16"/>
      <x:c r="P96" s="16"/>
      <x:c r="Q96" s="16"/>
      <x:c r="R96" s="16"/>
      <x:c r="S96" s="16"/>
      <x:c r="T96" s="16"/>
      <x:c r="U96" s="16"/>
      <x:c r="V96" s="16"/>
      <x:c r="W96" s="16"/>
      <x:c r="X96" t="str"/>
      <x:c r="Y96" t="str"/>
      <x:c r="Z96" t="str"/>
      <x:c r="AA96" t="str">
        <x:v>2025年该区县公开指标尚未录入；空值不代表零。</x:v>
      </x:c>
      <x:c r="AB96" t="n">
        <x:f>COUNT(D96:W96)</x:f>
        <x:v>0</x:v>
      </x:c>
    </x:row>
    <x:row r="97" ht="21" customHeight="1">
      <x:c r="A97" t="str">
        <x:v>上饶市</x:v>
      </x:c>
      <x:c r="B97" t="str">
        <x:v>弋阳县</x:v>
      </x:c>
      <x:c r="C97" t="str">
        <x:v>县</x:v>
      </x:c>
      <x:c r="D97" s="12"/>
      <x:c r="E97" s="12"/>
      <x:c r="F97" s="12"/>
      <x:c r="G97" s="12"/>
      <x:c r="H97" s="12"/>
      <x:c r="I97" s="14"/>
      <x:c r="J97" s="16"/>
      <x:c r="K97" s="16"/>
      <x:c r="L97" s="16"/>
      <x:c r="M97" s="16"/>
      <x:c r="N97" s="16"/>
      <x:c r="O97" s="16"/>
      <x:c r="P97" s="16"/>
      <x:c r="Q97" s="16"/>
      <x:c r="R97" s="16"/>
      <x:c r="S97" s="16"/>
      <x:c r="T97" s="16"/>
      <x:c r="U97" s="16"/>
      <x:c r="V97" s="16"/>
      <x:c r="W97" s="16"/>
      <x:c r="X97" t="str"/>
      <x:c r="Y97" t="str"/>
      <x:c r="Z97" t="str"/>
      <x:c r="AA97" t="str">
        <x:v>2025年该区县公开指标尚未录入；空值不代表零。</x:v>
      </x:c>
      <x:c r="AB97" t="n">
        <x:f>COUNT(D97:W97)</x:f>
        <x:v>0</x:v>
      </x:c>
    </x:row>
    <x:row r="98" ht="21" customHeight="1">
      <x:c r="A98" t="str">
        <x:v>上饶市</x:v>
      </x:c>
      <x:c r="B98" t="str">
        <x:v>余干县</x:v>
      </x:c>
      <x:c r="C98" t="str">
        <x:v>县</x:v>
      </x:c>
      <x:c r="D98" s="12"/>
      <x:c r="E98" s="12"/>
      <x:c r="F98" s="12"/>
      <x:c r="G98" s="12"/>
      <x:c r="H98" s="12"/>
      <x:c r="I98" s="14"/>
      <x:c r="J98" s="16"/>
      <x:c r="K98" s="16"/>
      <x:c r="L98" s="16"/>
      <x:c r="M98" s="16"/>
      <x:c r="N98" s="16"/>
      <x:c r="O98" s="16"/>
      <x:c r="P98" s="16"/>
      <x:c r="Q98" s="16"/>
      <x:c r="R98" s="16"/>
      <x:c r="S98" s="16"/>
      <x:c r="T98" s="16"/>
      <x:c r="U98" s="16"/>
      <x:c r="V98" s="16"/>
      <x:c r="W98" s="16"/>
      <x:c r="X98" t="str"/>
      <x:c r="Y98" t="str"/>
      <x:c r="Z98" t="str"/>
      <x:c r="AA98" t="str">
        <x:v>2025年该区县公开指标尚未录入；空值不代表零。</x:v>
      </x:c>
      <x:c r="AB98" t="n">
        <x:f>COUNT(D98:W98)</x:f>
        <x:v>0</x:v>
      </x:c>
    </x:row>
    <x:row r="99" ht="21" customHeight="1">
      <x:c r="A99" t="str">
        <x:v>上饶市</x:v>
      </x:c>
      <x:c r="B99" t="str">
        <x:v>鄱阳县</x:v>
      </x:c>
      <x:c r="C99" t="str">
        <x:v>县</x:v>
      </x:c>
      <x:c r="D99" s="12"/>
      <x:c r="E99" s="12"/>
      <x:c r="F99" s="12"/>
      <x:c r="G99" s="12"/>
      <x:c r="H99" s="12"/>
      <x:c r="I99" s="14"/>
      <x:c r="J99" s="16"/>
      <x:c r="K99" s="16"/>
      <x:c r="L99" s="16"/>
      <x:c r="M99" s="16"/>
      <x:c r="N99" s="16"/>
      <x:c r="O99" s="16"/>
      <x:c r="P99" s="16"/>
      <x:c r="Q99" s="16"/>
      <x:c r="R99" s="16"/>
      <x:c r="S99" s="16"/>
      <x:c r="T99" s="16"/>
      <x:c r="U99" s="16"/>
      <x:c r="V99" s="16"/>
      <x:c r="W99" s="16"/>
      <x:c r="X99" t="str"/>
      <x:c r="Y99" t="str"/>
      <x:c r="Z99" t="str"/>
      <x:c r="AA99" t="str">
        <x:v>2025年该区县公开指标尚未录入；空值不代表零。</x:v>
      </x:c>
      <x:c r="AB99" t="n">
        <x:f>COUNT(D99:W99)</x:f>
        <x:v>0</x:v>
      </x:c>
    </x:row>
    <x:row r="100" ht="21" customHeight="1">
      <x:c r="A100" t="str">
        <x:v>上饶市</x:v>
      </x:c>
      <x:c r="B100" t="str">
        <x:v>万年县</x:v>
      </x:c>
      <x:c r="C100" t="str">
        <x:v>县</x:v>
      </x:c>
      <x:c r="D100" s="12"/>
      <x:c r="E100" s="12"/>
      <x:c r="F100" s="12"/>
      <x:c r="G100" s="12"/>
      <x:c r="H100" s="12"/>
      <x:c r="I100" s="14"/>
      <x:c r="J100" s="16"/>
      <x:c r="K100" s="16"/>
      <x:c r="L100" s="16"/>
      <x:c r="M100" s="16"/>
      <x:c r="N100" s="16"/>
      <x:c r="O100" s="16"/>
      <x:c r="P100" s="16"/>
      <x:c r="Q100" s="16"/>
      <x:c r="R100" s="16"/>
      <x:c r="S100" s="16"/>
      <x:c r="T100" s="16"/>
      <x:c r="U100" s="16"/>
      <x:c r="V100" s="16"/>
      <x:c r="W100" s="16"/>
      <x:c r="X100" t="str"/>
      <x:c r="Y100" t="str"/>
      <x:c r="Z100" t="str"/>
      <x:c r="AA100" t="str">
        <x:v>2025年该区县公开指标尚未录入；空值不代表零。</x:v>
      </x:c>
      <x:c r="AB100" t="n">
        <x:f>COUNT(D100:W100)</x:f>
        <x:v>0</x:v>
      </x:c>
    </x:row>
    <x:row r="101" ht="21" customHeight="1">
      <x:c r="A101" t="str">
        <x:v>上饶市</x:v>
      </x:c>
      <x:c r="B101" t="str">
        <x:v>婺源县</x:v>
      </x:c>
      <x:c r="C101" t="str">
        <x:v>县</x:v>
      </x:c>
      <x:c r="D101" s="12" t="n">
        <x:v>301700</x:v>
      </x:c>
      <x:c r="E101" s="12" t="n">
        <x:v>169700</x:v>
      </x:c>
      <x:c r="F101" s="12"/>
      <x:c r="G101" s="12"/>
      <x:c r="H101" s="12"/>
      <x:c r="I101" s="14"/>
      <x:c r="J101" s="16" t="n">
        <x:v>4490</x:v>
      </x:c>
      <x:c r="K101" s="16"/>
      <x:c r="L101" s="16"/>
      <x:c r="M101" s="16" t="n">
        <x:v>39149</x:v>
      </x:c>
      <x:c r="N101" s="16" t="n">
        <x:v>23398</x:v>
      </x:c>
      <x:c r="O101" s="16" t="n">
        <x:v>78300</x:v>
      </x:c>
      <x:c r="P101" s="16"/>
      <x:c r="Q101" s="16" t="n">
        <x:v>190400</x:v>
      </x:c>
      <x:c r="R101" s="16"/>
      <x:c r="S101" s="16"/>
      <x:c r="T101" s="16"/>
      <x:c r="U101" s="16"/>
      <x:c r="V101" s="16"/>
      <x:c r="W101" s="16"/>
      <x:c r="X101" t="str">
        <x:v>https://tjgb.hongheiku.com/xjtjgb/xj2020/73815.html</x:v>
      </x:c>
      <x:c r="Y101" t="str">
        <x:v>https://tjgb.hongheiku.com/xjtjgb/xj2020/73815.html</x:v>
      </x:c>
      <x:c r="Z101" t="str">
        <x:v>https://tjgb.hongheiku.com/xjtjgb/xj2020/73815.html</x:v>
      </x:c>
      <x:c r="AA101" t="str">
        <x:v>城镇职工养老参保7.83万人不严格等同企业职工参保；字段暂记为城镇职工代理口径，慎比较。</x:v>
      </x:c>
      <x:c r="AB101" t="n">
        <x:f>COUNT(D101:W101)</x:f>
        <x:v>7</x:v>
      </x:c>
    </x:row>
  </x:sheetData>
  <x:conditionalFormatting sqref="AB2:AB101">
    <x:cfRule type="dataBar" priority="1">
      <x:dataBar>
        <x:cfvo type="min"/>
        <x:cfvo type="max"/>
        <x:color rgb="FF20A78E"/>
      </x:dataBar>
      <x:extLst>
        <x:ext xmlns:x14="http://schemas.microsoft.com/office/spreadsheetml/2009/9/main" uri="{B025F937-C7B1-47D3-B67F-A62EFF666E3E}">
          <x14:id>{45C4C3AF-DA8C-E7C5-DF5A-C6886E983118}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158de25dd4bb499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5C4C3AF-DA8C-E7C5-DF5A-C6886E983118}">
            <x14:dataBar gradient="1">
              <x14:cfvo type="min"/>
              <x14:cfvo type="max"/>
              <x14:fillColor rgb="FF20A78E"/>
            </x14:dataBar>
          </x14:cfRule>
          <xm:sqref>AB2:AB101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15" hidden="0" customWidth="1"/>
    <x:col min="3" max="3" width="11" hidden="0" customWidth="1"/>
    <x:col min="4" max="4" width="17" hidden="0" customWidth="1"/>
    <x:col min="5" max="5" width="18" hidden="0" customWidth="1"/>
    <x:col min="6" max="6" width="20" hidden="0" customWidth="1"/>
    <x:col min="7" max="7" width="19" hidden="0" customWidth="1"/>
    <x:col min="8" max="8" width="22" hidden="0" customWidth="1"/>
    <x:col min="9" max="9" width="18" hidden="0" customWidth="1"/>
    <x:col min="10" max="10" width="21" hidden="0" customWidth="1"/>
    <x:col min="11" max="11" width="19" hidden="0" customWidth="1"/>
    <x:col min="12" max="12" width="20" hidden="0" customWidth="1"/>
    <x:col min="13" max="13" width="19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18" hidden="0" customWidth="1"/>
    <x:col min="20" max="20" width="18" hidden="0" customWidth="1"/>
    <x:col min="21" max="21" width="41" hidden="0" customWidth="1"/>
    <x:col min="22" max="22" width="48" hidden="0" customWidth="1"/>
  </x:cols>
  <x:sheetData>
    <x:row r="1" ht="32" customHeight="1">
      <x:c r="A1" s="6" t="str">
        <x:v>地市</x:v>
      </x:c>
      <x:c r="B1" s="6" t="str">
        <x:v>区县</x:v>
      </x:c>
      <x:c r="C1" s="6" t="str">
        <x:v>类型</x:v>
      </x:c>
      <x:c r="D1" s="6" t="str">
        <x:v>企业退休人数_人</x:v>
      </x:c>
      <x:c r="E1" s="6" t="str">
        <x:v>机关事业退休人数_人</x:v>
      </x:c>
      <x:c r="F1" s="6" t="str">
        <x:v>城乡居民领取人数_人</x:v>
      </x:c>
      <x:c r="G1" s="6" t="str">
        <x:v>企业养老金_万元</x:v>
      </x:c>
      <x:c r="H1" s="6" t="str">
        <x:v>机关事业养老金_万元</x:v>
      </x:c>
      <x:c r="I1" s="6" t="str">
        <x:v>居民养老金_万元</x:v>
      </x:c>
      <x:c r="J1" s="6" t="str">
        <x:v>三类发放合计_万元</x:v>
      </x:c>
      <x:c r="K1" s="6" t="str">
        <x:v>机关事业金额占比</x:v>
      </x:c>
      <x:c r="L1" s="6" t="str">
        <x:v>三类领取人数合计_人</x:v>
      </x:c>
      <x:c r="M1" s="6" t="str">
        <x:v>机关事业人数占比</x:v>
      </x:c>
      <x:c r="N1" s="6" t="str">
        <x:v>企业人均月待遇_元</x:v>
      </x:c>
      <x:c r="O1" s="6" t="str">
        <x:v>机关人均月待遇_元</x:v>
      </x:c>
      <x:c r="P1" s="6" t="str">
        <x:v>居民人均月待遇_元</x:v>
      </x:c>
      <x:c r="Q1" s="6" t="str">
        <x:v>机关/企业月待遇倍数</x:v>
      </x:c>
      <x:c r="R1" s="6" t="str">
        <x:v>机关/居民月待遇倍数</x:v>
      </x:c>
      <x:c r="S1" s="6" t="str">
        <x:v>是否具备金额三项</x:v>
      </x:c>
      <x:c r="T1" s="6" t="str">
        <x:v>是否具备人数三项</x:v>
      </x:c>
      <x:c r="U1" s="6" t="str">
        <x:v>养老原始来源URL</x:v>
      </x:c>
      <x:c r="V1" s="6" t="str">
        <x:v>说明</x:v>
      </x:c>
    </x:row>
    <x:row r="2" ht="21" customHeight="1">
      <x:c r="A2" t="str">
        <x:f>'县级总表2025'!A2</x:f>
        <x:v>南昌市</x:v>
      </x:c>
      <x:c r="B2" t="str">
        <x:f>'县级总表2025'!B2</x:f>
        <x:v>东湖区</x:v>
      </x:c>
      <x:c r="C2" t="str">
        <x:f>'县级总表2025'!C2</x:f>
        <x:v>区</x:v>
      </x:c>
      <x:c r="D2" s="14" t="str">
        <x:f>IF(ISNUMBER('县级总表2025'!R2),'县级总表2025'!R2,"")</x:f>
      </x:c>
      <x:c r="E2" s="14" t="str">
        <x:f>IF(ISNUMBER('县级总表2025'!S2),'县级总表2025'!S2,"")</x:f>
      </x:c>
      <x:c r="F2" s="14" t="str">
        <x:f>IF(ISNUMBER('县级总表2025'!T2),'县级总表2025'!T2,"")</x:f>
      </x:c>
      <x:c r="G2" s="14" t="str">
        <x:f>IF(ISNUMBER('县级总表2025'!U2),'县级总表2025'!U2,"")</x:f>
      </x:c>
      <x:c r="H2" s="14" t="str">
        <x:f>IF(ISNUMBER('县级总表2025'!V2),'县级总表2025'!V2,"")</x:f>
      </x:c>
      <x:c r="I2" s="14" t="str">
        <x:f>IF(ISNUMBER('县级总表2025'!W2),'县级总表2025'!W2,"")</x:f>
      </x:c>
      <x:c r="J2" s="14" t="str">
        <x:f>IF(COUNT(G2:I2)=3,SUM(G2:I2),"")</x:f>
      </x:c>
      <x:c r="K2" s="22" t="str">
        <x:f>IF(AND(ISNUMBER(J2),J2&gt;0),H2/J2,"")</x:f>
      </x:c>
      <x:c r="L2" s="23" t="str">
        <x:f>IF(COUNT(D2:F2)=3,SUM(D2:F2),"")</x:f>
      </x:c>
      <x:c r="M2" s="22" t="str">
        <x:f>IF(AND(ISNUMBER(L2),L2&gt;0),E2/L2,"")</x:f>
      </x:c>
      <x:c r="N2" s="26" t="str">
        <x:f>IF(AND(ISNUMBER(D2),D2&gt;0,ISNUMBER(G2)),G2*10000/(D2*12),"")</x:f>
      </x:c>
      <x:c r="O2" s="26" t="str">
        <x:f>IF(AND(ISNUMBER(E2),E2&gt;0,ISNUMBER(H2)),H2*10000/(E2*12),"")</x:f>
      </x:c>
      <x:c r="P2" s="26" t="str">
        <x:f>IF(AND(ISNUMBER(F2),F2&gt;0,ISNUMBER(I2)),I2*10000/(F2*12),"")</x:f>
      </x:c>
      <x:c r="Q2" s="27" t="str">
        <x:f>IF(AND(ISNUMBER(N2),N2&gt;0,ISNUMBER(O2)),O2/N2,"")</x:f>
      </x:c>
      <x:c r="R2" s="27" t="str">
        <x:f>IF(AND(ISNUMBER(P2),P2&gt;0,ISNUMBER(O2)),O2/P2,"")</x:f>
      </x:c>
      <x:c r="S2" t="str">
        <x:f>IF(COUNT(G2:I2)=3,"完整","缺项")</x:f>
        <x:v>缺项</x:v>
      </x:c>
      <x:c r="T2" t="str">
        <x:f>IF(COUNT(D2:F2)=3,"完整","缺项")</x:f>
        <x:v>缺项</x:v>
      </x:c>
      <x:c r="U2" t="str"/>
      <x:c r="V2" t="str">
        <x:v>未查到三类完整退休待遇；不可将参保人数替代退休人数。</x:v>
      </x:c>
    </x:row>
    <x:row r="3" ht="21" customHeight="1">
      <x:c r="A3" t="str">
        <x:f>'县级总表2025'!A3</x:f>
        <x:v>南昌市</x:v>
      </x:c>
      <x:c r="B3" t="str">
        <x:f>'县级总表2025'!B3</x:f>
        <x:v>西湖区</x:v>
      </x:c>
      <x:c r="C3" t="str">
        <x:f>'县级总表2025'!C3</x:f>
        <x:v>区</x:v>
      </x:c>
      <x:c r="D3" s="14" t="str">
        <x:f>IF(ISNUMBER('县级总表2025'!R3),'县级总表2025'!R3,"")</x:f>
      </x:c>
      <x:c r="E3" s="14" t="str">
        <x:f>IF(ISNUMBER('县级总表2025'!S3),'县级总表2025'!S3,"")</x:f>
      </x:c>
      <x:c r="F3" s="14" t="str">
        <x:f>IF(ISNUMBER('县级总表2025'!T3),'县级总表2025'!T3,"")</x:f>
      </x:c>
      <x:c r="G3" s="14" t="str">
        <x:f>IF(ISNUMBER('县级总表2025'!U3),'县级总表2025'!U3,"")</x:f>
      </x:c>
      <x:c r="H3" s="14" t="str">
        <x:f>IF(ISNUMBER('县级总表2025'!V3),'县级总表2025'!V3,"")</x:f>
      </x:c>
      <x:c r="I3" s="14" t="str">
        <x:f>IF(ISNUMBER('县级总表2025'!W3),'县级总表2025'!W3,"")</x:f>
      </x:c>
      <x:c r="J3" s="14" t="str">
        <x:f>IF(COUNT(G3:I3)=3,SUM(G3:I3),"")</x:f>
      </x:c>
      <x:c r="K3" s="22" t="str">
        <x:f>IF(AND(ISNUMBER(J3),J3&gt;0),H3/J3,"")</x:f>
      </x:c>
      <x:c r="L3" s="23" t="str">
        <x:f>IF(COUNT(D3:F3)=3,SUM(D3:F3),"")</x:f>
      </x:c>
      <x:c r="M3" s="22" t="str">
        <x:f>IF(AND(ISNUMBER(L3),L3&gt;0),E3/L3,"")</x:f>
      </x:c>
      <x:c r="N3" s="26" t="str">
        <x:f>IF(AND(ISNUMBER(D3),D3&gt;0,ISNUMBER(G3)),G3*10000/(D3*12),"")</x:f>
      </x:c>
      <x:c r="O3" s="26" t="str">
        <x:f>IF(AND(ISNUMBER(E3),E3&gt;0,ISNUMBER(H3)),H3*10000/(E3*12),"")</x:f>
      </x:c>
      <x:c r="P3" s="26" t="str">
        <x:f>IF(AND(ISNUMBER(F3),F3&gt;0,ISNUMBER(I3)),I3*10000/(F3*12),"")</x:f>
      </x:c>
      <x:c r="Q3" s="27" t="str">
        <x:f>IF(AND(ISNUMBER(N3),N3&gt;0,ISNUMBER(O3)),O3/N3,"")</x:f>
      </x:c>
      <x:c r="R3" s="27" t="str">
        <x:f>IF(AND(ISNUMBER(P3),P3&gt;0,ISNUMBER(O3)),O3/P3,"")</x:f>
      </x:c>
      <x:c r="S3" t="str">
        <x:f>IF(COUNT(G3:I3)=3,"完整","缺项")</x:f>
        <x:v>缺项</x:v>
      </x:c>
      <x:c r="T3" t="str">
        <x:f>IF(COUNT(D3:F3)=3,"完整","缺项")</x:f>
        <x:v>缺项</x:v>
      </x:c>
      <x:c r="U3" t="str"/>
      <x:c r="V3" t="str">
        <x:v>未查到三类完整退休待遇；不可将参保人数替代退休人数。</x:v>
      </x:c>
    </x:row>
    <x:row r="4" ht="21" customHeight="1">
      <x:c r="A4" t="str">
        <x:f>'县级总表2025'!A4</x:f>
        <x:v>南昌市</x:v>
      </x:c>
      <x:c r="B4" t="str">
        <x:f>'县级总表2025'!B4</x:f>
        <x:v>青云谱区</x:v>
      </x:c>
      <x:c r="C4" t="str">
        <x:f>'县级总表2025'!C4</x:f>
        <x:v>区</x:v>
      </x:c>
      <x:c r="D4" s="14" t="str">
        <x:f>IF(ISNUMBER('县级总表2025'!R4),'县级总表2025'!R4,"")</x:f>
      </x:c>
      <x:c r="E4" s="14" t="str">
        <x:f>IF(ISNUMBER('县级总表2025'!S4),'县级总表2025'!S4,"")</x:f>
      </x:c>
      <x:c r="F4" s="14" t="str">
        <x:f>IF(ISNUMBER('县级总表2025'!T4),'县级总表2025'!T4,"")</x:f>
      </x:c>
      <x:c r="G4" s="14" t="str">
        <x:f>IF(ISNUMBER('县级总表2025'!U4),'县级总表2025'!U4,"")</x:f>
      </x:c>
      <x:c r="H4" s="14" t="str">
        <x:f>IF(ISNUMBER('县级总表2025'!V4),'县级总表2025'!V4,"")</x:f>
      </x:c>
      <x:c r="I4" s="14" t="str">
        <x:f>IF(ISNUMBER('县级总表2025'!W4),'县级总表2025'!W4,"")</x:f>
      </x:c>
      <x:c r="J4" s="14" t="str">
        <x:f>IF(COUNT(G4:I4)=3,SUM(G4:I4),"")</x:f>
      </x:c>
      <x:c r="K4" s="22" t="str">
        <x:f>IF(AND(ISNUMBER(J4),J4&gt;0),H4/J4,"")</x:f>
      </x:c>
      <x:c r="L4" s="23" t="str">
        <x:f>IF(COUNT(D4:F4)=3,SUM(D4:F4),"")</x:f>
      </x:c>
      <x:c r="M4" s="22" t="str">
        <x:f>IF(AND(ISNUMBER(L4),L4&gt;0),E4/L4,"")</x:f>
      </x:c>
      <x:c r="N4" s="26" t="str">
        <x:f>IF(AND(ISNUMBER(D4),D4&gt;0,ISNUMBER(G4)),G4*10000/(D4*12),"")</x:f>
      </x:c>
      <x:c r="O4" s="26" t="str">
        <x:f>IF(AND(ISNUMBER(E4),E4&gt;0,ISNUMBER(H4)),H4*10000/(E4*12),"")</x:f>
      </x:c>
      <x:c r="P4" s="26" t="str">
        <x:f>IF(AND(ISNUMBER(F4),F4&gt;0,ISNUMBER(I4)),I4*10000/(F4*12),"")</x:f>
      </x:c>
      <x:c r="Q4" s="27" t="str">
        <x:f>IF(AND(ISNUMBER(N4),N4&gt;0,ISNUMBER(O4)),O4/N4,"")</x:f>
      </x:c>
      <x:c r="R4" s="27" t="str">
        <x:f>IF(AND(ISNUMBER(P4),P4&gt;0,ISNUMBER(O4)),O4/P4,"")</x:f>
      </x:c>
      <x:c r="S4" t="str">
        <x:f>IF(COUNT(G4:I4)=3,"完整","缺项")</x:f>
        <x:v>缺项</x:v>
      </x:c>
      <x:c r="T4" t="str">
        <x:f>IF(COUNT(D4:F4)=3,"完整","缺项")</x:f>
        <x:v>缺项</x:v>
      </x:c>
      <x:c r="U4" t="str"/>
      <x:c r="V4" t="str">
        <x:v>未查到三类完整退休待遇；不可将参保人数替代退休人数。</x:v>
      </x:c>
    </x:row>
    <x:row r="5" ht="21" customHeight="1">
      <x:c r="A5" t="str">
        <x:f>'县级总表2025'!A5</x:f>
        <x:v>南昌市</x:v>
      </x:c>
      <x:c r="B5" t="str">
        <x:f>'县级总表2025'!B5</x:f>
        <x:v>青山湖区</x:v>
      </x:c>
      <x:c r="C5" t="str">
        <x:f>'县级总表2025'!C5</x:f>
        <x:v>区</x:v>
      </x:c>
      <x:c r="D5" s="14" t="str">
        <x:f>IF(ISNUMBER('县级总表2025'!R5),'县级总表2025'!R5,"")</x:f>
      </x:c>
      <x:c r="E5" s="14" t="str">
        <x:f>IF(ISNUMBER('县级总表2025'!S5),'县级总表2025'!S5,"")</x:f>
      </x:c>
      <x:c r="F5" s="14" t="str">
        <x:f>IF(ISNUMBER('县级总表2025'!T5),'县级总表2025'!T5,"")</x:f>
      </x:c>
      <x:c r="G5" s="14" t="str">
        <x:f>IF(ISNUMBER('县级总表2025'!U5),'县级总表2025'!U5,"")</x:f>
      </x:c>
      <x:c r="H5" s="14" t="str">
        <x:f>IF(ISNUMBER('县级总表2025'!V5),'县级总表2025'!V5,"")</x:f>
      </x:c>
      <x:c r="I5" s="14" t="str">
        <x:f>IF(ISNUMBER('县级总表2025'!W5),'县级总表2025'!W5,"")</x:f>
      </x:c>
      <x:c r="J5" s="14" t="str">
        <x:f>IF(COUNT(G5:I5)=3,SUM(G5:I5),"")</x:f>
      </x:c>
      <x:c r="K5" s="22" t="str">
        <x:f>IF(AND(ISNUMBER(J5),J5&gt;0),H5/J5,"")</x:f>
      </x:c>
      <x:c r="L5" s="23" t="str">
        <x:f>IF(COUNT(D5:F5)=3,SUM(D5:F5),"")</x:f>
      </x:c>
      <x:c r="M5" s="22" t="str">
        <x:f>IF(AND(ISNUMBER(L5),L5&gt;0),E5/L5,"")</x:f>
      </x:c>
      <x:c r="N5" s="26" t="str">
        <x:f>IF(AND(ISNUMBER(D5),D5&gt;0,ISNUMBER(G5)),G5*10000/(D5*12),"")</x:f>
      </x:c>
      <x:c r="O5" s="26" t="str">
        <x:f>IF(AND(ISNUMBER(E5),E5&gt;0,ISNUMBER(H5)),H5*10000/(E5*12),"")</x:f>
      </x:c>
      <x:c r="P5" s="26" t="str">
        <x:f>IF(AND(ISNUMBER(F5),F5&gt;0,ISNUMBER(I5)),I5*10000/(F5*12),"")</x:f>
      </x:c>
      <x:c r="Q5" s="27" t="str">
        <x:f>IF(AND(ISNUMBER(N5),N5&gt;0,ISNUMBER(O5)),O5/N5,"")</x:f>
      </x:c>
      <x:c r="R5" s="27" t="str">
        <x:f>IF(AND(ISNUMBER(P5),P5&gt;0,ISNUMBER(O5)),O5/P5,"")</x:f>
      </x:c>
      <x:c r="S5" t="str">
        <x:f>IF(COUNT(G5:I5)=3,"完整","缺项")</x:f>
        <x:v>缺项</x:v>
      </x:c>
      <x:c r="T5" t="str">
        <x:f>IF(COUNT(D5:F5)=3,"完整","缺项")</x:f>
        <x:v>缺项</x:v>
      </x:c>
      <x:c r="U5" t="str"/>
      <x:c r="V5" t="str">
        <x:v>未查到三类完整退休待遇；不可将参保人数替代退休人数。</x:v>
      </x:c>
    </x:row>
    <x:row r="6" ht="21" customHeight="1">
      <x:c r="A6" t="str">
        <x:f>'县级总表2025'!A6</x:f>
        <x:v>南昌市</x:v>
      </x:c>
      <x:c r="B6" t="str">
        <x:f>'县级总表2025'!B6</x:f>
        <x:v>新建区</x:v>
      </x:c>
      <x:c r="C6" t="str">
        <x:f>'县级总表2025'!C6</x:f>
        <x:v>区</x:v>
      </x:c>
      <x:c r="D6" s="14" t="str">
        <x:f>IF(ISNUMBER('县级总表2025'!R6),'县级总表2025'!R6,"")</x:f>
      </x:c>
      <x:c r="E6" s="14" t="str">
        <x:f>IF(ISNUMBER('县级总表2025'!S6),'县级总表2025'!S6,"")</x:f>
      </x:c>
      <x:c r="F6" s="14" t="str">
        <x:f>IF(ISNUMBER('县级总表2025'!T6),'县级总表2025'!T6,"")</x:f>
      </x:c>
      <x:c r="G6" s="14" t="str">
        <x:f>IF(ISNUMBER('县级总表2025'!U6),'县级总表2025'!U6,"")</x:f>
      </x:c>
      <x:c r="H6" s="14" t="str">
        <x:f>IF(ISNUMBER('县级总表2025'!V6),'县级总表2025'!V6,"")</x:f>
      </x:c>
      <x:c r="I6" s="14" t="str">
        <x:f>IF(ISNUMBER('县级总表2025'!W6),'县级总表2025'!W6,"")</x:f>
      </x:c>
      <x:c r="J6" s="14" t="str">
        <x:f>IF(COUNT(G6:I6)=3,SUM(G6:I6),"")</x:f>
      </x:c>
      <x:c r="K6" s="22" t="str">
        <x:f>IF(AND(ISNUMBER(J6),J6&gt;0),H6/J6,"")</x:f>
      </x:c>
      <x:c r="L6" s="23" t="str">
        <x:f>IF(COUNT(D6:F6)=3,SUM(D6:F6),"")</x:f>
      </x:c>
      <x:c r="M6" s="22" t="str">
        <x:f>IF(AND(ISNUMBER(L6),L6&gt;0),E6/L6,"")</x:f>
      </x:c>
      <x:c r="N6" s="26" t="str">
        <x:f>IF(AND(ISNUMBER(D6),D6&gt;0,ISNUMBER(G6)),G6*10000/(D6*12),"")</x:f>
      </x:c>
      <x:c r="O6" s="26" t="str">
        <x:f>IF(AND(ISNUMBER(E6),E6&gt;0,ISNUMBER(H6)),H6*10000/(E6*12),"")</x:f>
      </x:c>
      <x:c r="P6" s="26" t="str">
        <x:f>IF(AND(ISNUMBER(F6),F6&gt;0,ISNUMBER(I6)),I6*10000/(F6*12),"")</x:f>
      </x:c>
      <x:c r="Q6" s="27" t="str">
        <x:f>IF(AND(ISNUMBER(N6),N6&gt;0,ISNUMBER(O6)),O6/N6,"")</x:f>
      </x:c>
      <x:c r="R6" s="27" t="str">
        <x:f>IF(AND(ISNUMBER(P6),P6&gt;0,ISNUMBER(O6)),O6/P6,"")</x:f>
      </x:c>
      <x:c r="S6" t="str">
        <x:f>IF(COUNT(G6:I6)=3,"完整","缺项")</x:f>
        <x:v>缺项</x:v>
      </x:c>
      <x:c r="T6" t="str">
        <x:f>IF(COUNT(D6:F6)=3,"完整","缺项")</x:f>
        <x:v>缺项</x:v>
      </x:c>
      <x:c r="U6" t="str"/>
      <x:c r="V6" t="str">
        <x:v>未查到三类完整退休待遇；不可将参保人数替代退休人数。</x:v>
      </x:c>
    </x:row>
    <x:row r="7" ht="21" customHeight="1">
      <x:c r="A7" t="str">
        <x:f>'县级总表2025'!A7</x:f>
        <x:v>南昌市</x:v>
      </x:c>
      <x:c r="B7" t="str">
        <x:f>'县级总表2025'!B7</x:f>
        <x:v>红谷滩区</x:v>
      </x:c>
      <x:c r="C7" t="str">
        <x:f>'县级总表2025'!C7</x:f>
        <x:v>区</x:v>
      </x:c>
      <x:c r="D7" s="14" t="str">
        <x:f>IF(ISNUMBER('县级总表2025'!R7),'县级总表2025'!R7,"")</x:f>
      </x:c>
      <x:c r="E7" s="14" t="str">
        <x:f>IF(ISNUMBER('县级总表2025'!S7),'县级总表2025'!S7,"")</x:f>
      </x:c>
      <x:c r="F7" s="14" t="str">
        <x:f>IF(ISNUMBER('县级总表2025'!T7),'县级总表2025'!T7,"")</x:f>
      </x:c>
      <x:c r="G7" s="14" t="str">
        <x:f>IF(ISNUMBER('县级总表2025'!U7),'县级总表2025'!U7,"")</x:f>
      </x:c>
      <x:c r="H7" s="14" t="str">
        <x:f>IF(ISNUMBER('县级总表2025'!V7),'县级总表2025'!V7,"")</x:f>
      </x:c>
      <x:c r="I7" s="14" t="str">
        <x:f>IF(ISNUMBER('县级总表2025'!W7),'县级总表2025'!W7,"")</x:f>
      </x:c>
      <x:c r="J7" s="14" t="str">
        <x:f>IF(COUNT(G7:I7)=3,SUM(G7:I7),"")</x:f>
      </x:c>
      <x:c r="K7" s="22" t="str">
        <x:f>IF(AND(ISNUMBER(J7),J7&gt;0),H7/J7,"")</x:f>
      </x:c>
      <x:c r="L7" s="23" t="str">
        <x:f>IF(COUNT(D7:F7)=3,SUM(D7:F7),"")</x:f>
      </x:c>
      <x:c r="M7" s="22" t="str">
        <x:f>IF(AND(ISNUMBER(L7),L7&gt;0),E7/L7,"")</x:f>
      </x:c>
      <x:c r="N7" s="26" t="str">
        <x:f>IF(AND(ISNUMBER(D7),D7&gt;0,ISNUMBER(G7)),G7*10000/(D7*12),"")</x:f>
      </x:c>
      <x:c r="O7" s="26" t="str">
        <x:f>IF(AND(ISNUMBER(E7),E7&gt;0,ISNUMBER(H7)),H7*10000/(E7*12),"")</x:f>
      </x:c>
      <x:c r="P7" s="26" t="str">
        <x:f>IF(AND(ISNUMBER(F7),F7&gt;0,ISNUMBER(I7)),I7*10000/(F7*12),"")</x:f>
      </x:c>
      <x:c r="Q7" s="27" t="str">
        <x:f>IF(AND(ISNUMBER(N7),N7&gt;0,ISNUMBER(O7)),O7/N7,"")</x:f>
      </x:c>
      <x:c r="R7" s="27" t="str">
        <x:f>IF(AND(ISNUMBER(P7),P7&gt;0,ISNUMBER(O7)),O7/P7,"")</x:f>
      </x:c>
      <x:c r="S7" t="str">
        <x:f>IF(COUNT(G7:I7)=3,"完整","缺项")</x:f>
        <x:v>缺项</x:v>
      </x:c>
      <x:c r="T7" t="str">
        <x:f>IF(COUNT(D7:F7)=3,"完整","缺项")</x:f>
        <x:v>缺项</x:v>
      </x:c>
      <x:c r="U7" t="str"/>
      <x:c r="V7" t="str">
        <x:v>未查到三类完整退休待遇；不可将参保人数替代退休人数。</x:v>
      </x:c>
    </x:row>
    <x:row r="8" ht="21" customHeight="1">
      <x:c r="A8" t="str">
        <x:f>'县级总表2025'!A8</x:f>
        <x:v>南昌市</x:v>
      </x:c>
      <x:c r="B8" t="str">
        <x:f>'县级总表2025'!B8</x:f>
        <x:v>南昌县</x:v>
      </x:c>
      <x:c r="C8" t="str">
        <x:f>'县级总表2025'!C8</x:f>
        <x:v>县</x:v>
      </x:c>
      <x:c r="D8" s="14" t="str">
        <x:f>IF(ISNUMBER('县级总表2025'!R8),'县级总表2025'!R8,"")</x:f>
      </x:c>
      <x:c r="E8" s="14" t="str">
        <x:f>IF(ISNUMBER('县级总表2025'!S8),'县级总表2025'!S8,"")</x:f>
      </x:c>
      <x:c r="F8" s="14" t="str">
        <x:f>IF(ISNUMBER('县级总表2025'!T8),'县级总表2025'!T8,"")</x:f>
      </x:c>
      <x:c r="G8" s="14" t="str">
        <x:f>IF(ISNUMBER('县级总表2025'!U8),'县级总表2025'!U8,"")</x:f>
      </x:c>
      <x:c r="H8" s="14" t="str">
        <x:f>IF(ISNUMBER('县级总表2025'!V8),'县级总表2025'!V8,"")</x:f>
      </x:c>
      <x:c r="I8" s="14" t="str">
        <x:f>IF(ISNUMBER('县级总表2025'!W8),'县级总表2025'!W8,"")</x:f>
      </x:c>
      <x:c r="J8" s="14" t="str">
        <x:f>IF(COUNT(G8:I8)=3,SUM(G8:I8),"")</x:f>
      </x:c>
      <x:c r="K8" s="22" t="str">
        <x:f>IF(AND(ISNUMBER(J8),J8&gt;0),H8/J8,"")</x:f>
      </x:c>
      <x:c r="L8" s="23" t="str">
        <x:f>IF(COUNT(D8:F8)=3,SUM(D8:F8),"")</x:f>
      </x:c>
      <x:c r="M8" s="22" t="str">
        <x:f>IF(AND(ISNUMBER(L8),L8&gt;0),E8/L8,"")</x:f>
      </x:c>
      <x:c r="N8" s="26" t="str">
        <x:f>IF(AND(ISNUMBER(D8),D8&gt;0,ISNUMBER(G8)),G8*10000/(D8*12),"")</x:f>
      </x:c>
      <x:c r="O8" s="26" t="str">
        <x:f>IF(AND(ISNUMBER(E8),E8&gt;0,ISNUMBER(H8)),H8*10000/(E8*12),"")</x:f>
      </x:c>
      <x:c r="P8" s="26" t="str">
        <x:f>IF(AND(ISNUMBER(F8),F8&gt;0,ISNUMBER(I8)),I8*10000/(F8*12),"")</x:f>
      </x:c>
      <x:c r="Q8" s="27" t="str">
        <x:f>IF(AND(ISNUMBER(N8),N8&gt;0,ISNUMBER(O8)),O8/N8,"")</x:f>
      </x:c>
      <x:c r="R8" s="27" t="str">
        <x:f>IF(AND(ISNUMBER(P8),P8&gt;0,ISNUMBER(O8)),O8/P8,"")</x:f>
      </x:c>
      <x:c r="S8" t="str">
        <x:f>IF(COUNT(G8:I8)=3,"完整","缺项")</x:f>
        <x:v>缺项</x:v>
      </x:c>
      <x:c r="T8" t="str">
        <x:f>IF(COUNT(D8:F8)=3,"完整","缺项")</x:f>
        <x:v>缺项</x:v>
      </x:c>
      <x:c r="U8" t="str">
        <x:v>https://ncx.nc.gov.cn/ncxrmzf/tjgb01h/202604/fd1aa6251dbf45ef8737d4553710064f.shtml</x:v>
      </x:c>
      <x:c r="V8" t="str"/>
    </x:row>
    <x:row r="9" ht="21" customHeight="1">
      <x:c r="A9" t="str">
        <x:f>'县级总表2025'!A9</x:f>
        <x:v>南昌市</x:v>
      </x:c>
      <x:c r="B9" t="str">
        <x:f>'县级总表2025'!B9</x:f>
        <x:v>安义县</x:v>
      </x:c>
      <x:c r="C9" t="str">
        <x:f>'县级总表2025'!C9</x:f>
        <x:v>县</x:v>
      </x:c>
      <x:c r="D9" s="14" t="str">
        <x:f>IF(ISNUMBER('县级总表2025'!R9),'县级总表2025'!R9,"")</x:f>
      </x:c>
      <x:c r="E9" s="14" t="str">
        <x:f>IF(ISNUMBER('县级总表2025'!S9),'县级总表2025'!S9,"")</x:f>
      </x:c>
      <x:c r="F9" s="14" t="str">
        <x:f>IF(ISNUMBER('县级总表2025'!T9),'县级总表2025'!T9,"")</x:f>
      </x:c>
      <x:c r="G9" s="14" t="str">
        <x:f>IF(ISNUMBER('县级总表2025'!U9),'县级总表2025'!U9,"")</x:f>
      </x:c>
      <x:c r="H9" s="14" t="str">
        <x:f>IF(ISNUMBER('县级总表2025'!V9),'县级总表2025'!V9,"")</x:f>
      </x:c>
      <x:c r="I9" s="14" t="str">
        <x:f>IF(ISNUMBER('县级总表2025'!W9),'县级总表2025'!W9,"")</x:f>
      </x:c>
      <x:c r="J9" s="14" t="str">
        <x:f>IF(COUNT(G9:I9)=3,SUM(G9:I9),"")</x:f>
      </x:c>
      <x:c r="K9" s="22" t="str">
        <x:f>IF(AND(ISNUMBER(J9),J9&gt;0),H9/J9,"")</x:f>
      </x:c>
      <x:c r="L9" s="23" t="str">
        <x:f>IF(COUNT(D9:F9)=3,SUM(D9:F9),"")</x:f>
      </x:c>
      <x:c r="M9" s="22" t="str">
        <x:f>IF(AND(ISNUMBER(L9),L9&gt;0),E9/L9,"")</x:f>
      </x:c>
      <x:c r="N9" s="26" t="str">
        <x:f>IF(AND(ISNUMBER(D9),D9&gt;0,ISNUMBER(G9)),G9*10000/(D9*12),"")</x:f>
      </x:c>
      <x:c r="O9" s="26" t="str">
        <x:f>IF(AND(ISNUMBER(E9),E9&gt;0,ISNUMBER(H9)),H9*10000/(E9*12),"")</x:f>
      </x:c>
      <x:c r="P9" s="26" t="str">
        <x:f>IF(AND(ISNUMBER(F9),F9&gt;0,ISNUMBER(I9)),I9*10000/(F9*12),"")</x:f>
      </x:c>
      <x:c r="Q9" s="27" t="str">
        <x:f>IF(AND(ISNUMBER(N9),N9&gt;0,ISNUMBER(O9)),O9/N9,"")</x:f>
      </x:c>
      <x:c r="R9" s="27" t="str">
        <x:f>IF(AND(ISNUMBER(P9),P9&gt;0,ISNUMBER(O9)),O9/P9,"")</x:f>
      </x:c>
      <x:c r="S9" t="str">
        <x:f>IF(COUNT(G9:I9)=3,"完整","缺项")</x:f>
        <x:v>缺项</x:v>
      </x:c>
      <x:c r="T9" t="str">
        <x:f>IF(COUNT(D9:F9)=3,"完整","缺项")</x:f>
        <x:v>缺项</x:v>
      </x:c>
      <x:c r="U9" t="str"/>
      <x:c r="V9" t="str">
        <x:v>未查到三类完整退休待遇；不可将参保人数替代退休人数。</x:v>
      </x:c>
    </x:row>
    <x:row r="10" ht="21" customHeight="1">
      <x:c r="A10" t="str">
        <x:f>'县级总表2025'!A10</x:f>
        <x:v>南昌市</x:v>
      </x:c>
      <x:c r="B10" t="str">
        <x:f>'县级总表2025'!B10</x:f>
        <x:v>进贤县</x:v>
      </x:c>
      <x:c r="C10" t="str">
        <x:f>'县级总表2025'!C10</x:f>
        <x:v>县</x:v>
      </x:c>
      <x:c r="D10" s="14" t="str">
        <x:f>IF(ISNUMBER('县级总表2025'!R10),'县级总表2025'!R10,"")</x:f>
      </x:c>
      <x:c r="E10" s="14" t="str">
        <x:f>IF(ISNUMBER('县级总表2025'!S10),'县级总表2025'!S10,"")</x:f>
      </x:c>
      <x:c r="F10" s="14" t="str">
        <x:f>IF(ISNUMBER('县级总表2025'!T10),'县级总表2025'!T10,"")</x:f>
      </x:c>
      <x:c r="G10" s="14" t="str">
        <x:f>IF(ISNUMBER('县级总表2025'!U10),'县级总表2025'!U10,"")</x:f>
      </x:c>
      <x:c r="H10" s="14" t="str">
        <x:f>IF(ISNUMBER('县级总表2025'!V10),'县级总表2025'!V10,"")</x:f>
      </x:c>
      <x:c r="I10" s="14" t="str">
        <x:f>IF(ISNUMBER('县级总表2025'!W10),'县级总表2025'!W10,"")</x:f>
      </x:c>
      <x:c r="J10" s="14" t="str">
        <x:f>IF(COUNT(G10:I10)=3,SUM(G10:I10),"")</x:f>
      </x:c>
      <x:c r="K10" s="22" t="str">
        <x:f>IF(AND(ISNUMBER(J10),J10&gt;0),H10/J10,"")</x:f>
      </x:c>
      <x:c r="L10" s="23" t="str">
        <x:f>IF(COUNT(D10:F10)=3,SUM(D10:F10),"")</x:f>
      </x:c>
      <x:c r="M10" s="22" t="str">
        <x:f>IF(AND(ISNUMBER(L10),L10&gt;0),E10/L10,"")</x:f>
      </x:c>
      <x:c r="N10" s="26" t="str">
        <x:f>IF(AND(ISNUMBER(D10),D10&gt;0,ISNUMBER(G10)),G10*10000/(D10*12),"")</x:f>
      </x:c>
      <x:c r="O10" s="26" t="str">
        <x:f>IF(AND(ISNUMBER(E10),E10&gt;0,ISNUMBER(H10)),H10*10000/(E10*12),"")</x:f>
      </x:c>
      <x:c r="P10" s="26" t="str">
        <x:f>IF(AND(ISNUMBER(F10),F10&gt;0,ISNUMBER(I10)),I10*10000/(F10*12),"")</x:f>
      </x:c>
      <x:c r="Q10" s="27" t="str">
        <x:f>IF(AND(ISNUMBER(N10),N10&gt;0,ISNUMBER(O10)),O10/N10,"")</x:f>
      </x:c>
      <x:c r="R10" s="27" t="str">
        <x:f>IF(AND(ISNUMBER(P10),P10&gt;0,ISNUMBER(O10)),O10/P10,"")</x:f>
      </x:c>
      <x:c r="S10" t="str">
        <x:f>IF(COUNT(G10:I10)=3,"完整","缺项")</x:f>
        <x:v>缺项</x:v>
      </x:c>
      <x:c r="T10" t="str">
        <x:f>IF(COUNT(D10:F10)=3,"完整","缺项")</x:f>
        <x:v>缺项</x:v>
      </x:c>
      <x:c r="U10" t="str">
        <x:v>https://tjgb.hongheiku.com/xjtjgb/xj2020/80003.html</x:v>
      </x:c>
      <x:c r="V10" t="str"/>
    </x:row>
    <x:row r="11" ht="21" customHeight="1">
      <x:c r="A11" t="str">
        <x:f>'县级总表2025'!A11</x:f>
        <x:v>景德镇市</x:v>
      </x:c>
      <x:c r="B11" t="str">
        <x:f>'县级总表2025'!B11</x:f>
        <x:v>昌江区</x:v>
      </x:c>
      <x:c r="C11" t="str">
        <x:f>'县级总表2025'!C11</x:f>
        <x:v>区</x:v>
      </x:c>
      <x:c r="D11" s="14" t="str">
        <x:f>IF(ISNUMBER('县级总表2025'!R11),'县级总表2025'!R11,"")</x:f>
      </x:c>
      <x:c r="E11" s="14" t="str">
        <x:f>IF(ISNUMBER('县级总表2025'!S11),'县级总表2025'!S11,"")</x:f>
      </x:c>
      <x:c r="F11" s="14" t="str">
        <x:f>IF(ISNUMBER('县级总表2025'!T11),'县级总表2025'!T11,"")</x:f>
      </x:c>
      <x:c r="G11" s="14" t="str">
        <x:f>IF(ISNUMBER('县级总表2025'!U11),'县级总表2025'!U11,"")</x:f>
      </x:c>
      <x:c r="H11" s="14" t="str">
        <x:f>IF(ISNUMBER('县级总表2025'!V11),'县级总表2025'!V11,"")</x:f>
      </x:c>
      <x:c r="I11" s="14" t="str">
        <x:f>IF(ISNUMBER('县级总表2025'!W11),'县级总表2025'!W11,"")</x:f>
      </x:c>
      <x:c r="J11" s="14" t="str">
        <x:f>IF(COUNT(G11:I11)=3,SUM(G11:I11),"")</x:f>
      </x:c>
      <x:c r="K11" s="22" t="str">
        <x:f>IF(AND(ISNUMBER(J11),J11&gt;0),H11/J11,"")</x:f>
      </x:c>
      <x:c r="L11" s="23" t="str">
        <x:f>IF(COUNT(D11:F11)=3,SUM(D11:F11),"")</x:f>
      </x:c>
      <x:c r="M11" s="22" t="str">
        <x:f>IF(AND(ISNUMBER(L11),L11&gt;0),E11/L11,"")</x:f>
      </x:c>
      <x:c r="N11" s="26" t="str">
        <x:f>IF(AND(ISNUMBER(D11),D11&gt;0,ISNUMBER(G11)),G11*10000/(D11*12),"")</x:f>
      </x:c>
      <x:c r="O11" s="26" t="str">
        <x:f>IF(AND(ISNUMBER(E11),E11&gt;0,ISNUMBER(H11)),H11*10000/(E11*12),"")</x:f>
      </x:c>
      <x:c r="P11" s="26" t="str">
        <x:f>IF(AND(ISNUMBER(F11),F11&gt;0,ISNUMBER(I11)),I11*10000/(F11*12),"")</x:f>
      </x:c>
      <x:c r="Q11" s="27" t="str">
        <x:f>IF(AND(ISNUMBER(N11),N11&gt;0,ISNUMBER(O11)),O11/N11,"")</x:f>
      </x:c>
      <x:c r="R11" s="27" t="str">
        <x:f>IF(AND(ISNUMBER(P11),P11&gt;0,ISNUMBER(O11)),O11/P11,"")</x:f>
      </x:c>
      <x:c r="S11" t="str">
        <x:f>IF(COUNT(G11:I11)=3,"完整","缺项")</x:f>
        <x:v>缺项</x:v>
      </x:c>
      <x:c r="T11" t="str">
        <x:f>IF(COUNT(D11:F11)=3,"完整","缺项")</x:f>
        <x:v>缺项</x:v>
      </x:c>
      <x:c r="U11" t="str"/>
      <x:c r="V11" t="str">
        <x:v>未查到三类完整退休待遇；不可将参保人数替代退休人数。</x:v>
      </x:c>
    </x:row>
    <x:row r="12" ht="21" customHeight="1">
      <x:c r="A12" t="str">
        <x:f>'县级总表2025'!A12</x:f>
        <x:v>景德镇市</x:v>
      </x:c>
      <x:c r="B12" t="str">
        <x:f>'县级总表2025'!B12</x:f>
        <x:v>珠山区</x:v>
      </x:c>
      <x:c r="C12" t="str">
        <x:f>'县级总表2025'!C12</x:f>
        <x:v>区</x:v>
      </x:c>
      <x:c r="D12" s="14" t="str">
        <x:f>IF(ISNUMBER('县级总表2025'!R12),'县级总表2025'!R12,"")</x:f>
      </x:c>
      <x:c r="E12" s="14" t="str">
        <x:f>IF(ISNUMBER('县级总表2025'!S12),'县级总表2025'!S12,"")</x:f>
      </x:c>
      <x:c r="F12" s="14" t="str">
        <x:f>IF(ISNUMBER('县级总表2025'!T12),'县级总表2025'!T12,"")</x:f>
      </x:c>
      <x:c r="G12" s="14" t="str">
        <x:f>IF(ISNUMBER('县级总表2025'!U12),'县级总表2025'!U12,"")</x:f>
      </x:c>
      <x:c r="H12" s="14" t="str">
        <x:f>IF(ISNUMBER('县级总表2025'!V12),'县级总表2025'!V12,"")</x:f>
      </x:c>
      <x:c r="I12" s="14" t="str">
        <x:f>IF(ISNUMBER('县级总表2025'!W12),'县级总表2025'!W12,"")</x:f>
      </x:c>
      <x:c r="J12" s="14" t="str">
        <x:f>IF(COUNT(G12:I12)=3,SUM(G12:I12),"")</x:f>
      </x:c>
      <x:c r="K12" s="22" t="str">
        <x:f>IF(AND(ISNUMBER(J12),J12&gt;0),H12/J12,"")</x:f>
      </x:c>
      <x:c r="L12" s="23" t="str">
        <x:f>IF(COUNT(D12:F12)=3,SUM(D12:F12),"")</x:f>
      </x:c>
      <x:c r="M12" s="22" t="str">
        <x:f>IF(AND(ISNUMBER(L12),L12&gt;0),E12/L12,"")</x:f>
      </x:c>
      <x:c r="N12" s="26" t="str">
        <x:f>IF(AND(ISNUMBER(D12),D12&gt;0,ISNUMBER(G12)),G12*10000/(D12*12),"")</x:f>
      </x:c>
      <x:c r="O12" s="26" t="str">
        <x:f>IF(AND(ISNUMBER(E12),E12&gt;0,ISNUMBER(H12)),H12*10000/(E12*12),"")</x:f>
      </x:c>
      <x:c r="P12" s="26" t="str">
        <x:f>IF(AND(ISNUMBER(F12),F12&gt;0,ISNUMBER(I12)),I12*10000/(F12*12),"")</x:f>
      </x:c>
      <x:c r="Q12" s="27" t="str">
        <x:f>IF(AND(ISNUMBER(N12),N12&gt;0,ISNUMBER(O12)),O12/N12,"")</x:f>
      </x:c>
      <x:c r="R12" s="27" t="str">
        <x:f>IF(AND(ISNUMBER(P12),P12&gt;0,ISNUMBER(O12)),O12/P12,"")</x:f>
      </x:c>
      <x:c r="S12" t="str">
        <x:f>IF(COUNT(G12:I12)=3,"完整","缺项")</x:f>
        <x:v>缺项</x:v>
      </x:c>
      <x:c r="T12" t="str">
        <x:f>IF(COUNT(D12:F12)=3,"完整","缺项")</x:f>
        <x:v>缺项</x:v>
      </x:c>
      <x:c r="U12" t="str"/>
      <x:c r="V12" t="str">
        <x:v>未查到三类完整退休待遇；不可将参保人数替代退休人数。</x:v>
      </x:c>
    </x:row>
    <x:row r="13" ht="21" customHeight="1">
      <x:c r="A13" t="str">
        <x:f>'县级总表2025'!A13</x:f>
        <x:v>景德镇市</x:v>
      </x:c>
      <x:c r="B13" t="str">
        <x:f>'县级总表2025'!B13</x:f>
        <x:v>乐平市</x:v>
      </x:c>
      <x:c r="C13" t="str">
        <x:f>'县级总表2025'!C13</x:f>
        <x:v>县级市</x:v>
      </x:c>
      <x:c r="D13" s="14" t="str">
        <x:f>IF(ISNUMBER('县级总表2025'!R13),'县级总表2025'!R13,"")</x:f>
      </x:c>
      <x:c r="E13" s="14" t="str">
        <x:f>IF(ISNUMBER('县级总表2025'!S13),'县级总表2025'!S13,"")</x:f>
      </x:c>
      <x:c r="F13" s="14" t="str">
        <x:f>IF(ISNUMBER('县级总表2025'!T13),'县级总表2025'!T13,"")</x:f>
      </x:c>
      <x:c r="G13" s="14" t="str">
        <x:f>IF(ISNUMBER('县级总表2025'!U13),'县级总表2025'!U13,"")</x:f>
      </x:c>
      <x:c r="H13" s="14" t="str">
        <x:f>IF(ISNUMBER('县级总表2025'!V13),'县级总表2025'!V13,"")</x:f>
      </x:c>
      <x:c r="I13" s="14" t="str">
        <x:f>IF(ISNUMBER('县级总表2025'!W13),'县级总表2025'!W13,"")</x:f>
      </x:c>
      <x:c r="J13" s="14" t="str">
        <x:f>IF(COUNT(G13:I13)=3,SUM(G13:I13),"")</x:f>
      </x:c>
      <x:c r="K13" s="22" t="str">
        <x:f>IF(AND(ISNUMBER(J13),J13&gt;0),H13/J13,"")</x:f>
      </x:c>
      <x:c r="L13" s="23" t="str">
        <x:f>IF(COUNT(D13:F13)=3,SUM(D13:F13),"")</x:f>
      </x:c>
      <x:c r="M13" s="22" t="str">
        <x:f>IF(AND(ISNUMBER(L13),L13&gt;0),E13/L13,"")</x:f>
      </x:c>
      <x:c r="N13" s="26" t="str">
        <x:f>IF(AND(ISNUMBER(D13),D13&gt;0,ISNUMBER(G13)),G13*10000/(D13*12),"")</x:f>
      </x:c>
      <x:c r="O13" s="26" t="str">
        <x:f>IF(AND(ISNUMBER(E13),E13&gt;0,ISNUMBER(H13)),H13*10000/(E13*12),"")</x:f>
      </x:c>
      <x:c r="P13" s="26" t="str">
        <x:f>IF(AND(ISNUMBER(F13),F13&gt;0,ISNUMBER(I13)),I13*10000/(F13*12),"")</x:f>
      </x:c>
      <x:c r="Q13" s="27" t="str">
        <x:f>IF(AND(ISNUMBER(N13),N13&gt;0,ISNUMBER(O13)),O13/N13,"")</x:f>
      </x:c>
      <x:c r="R13" s="27" t="str">
        <x:f>IF(AND(ISNUMBER(P13),P13&gt;0,ISNUMBER(O13)),O13/P13,"")</x:f>
      </x:c>
      <x:c r="S13" t="str">
        <x:f>IF(COUNT(G13:I13)=3,"完整","缺项")</x:f>
        <x:v>缺项</x:v>
      </x:c>
      <x:c r="T13" t="str">
        <x:f>IF(COUNT(D13:F13)=3,"完整","缺项")</x:f>
        <x:v>缺项</x:v>
      </x:c>
      <x:c r="U13" t="str"/>
      <x:c r="V13" t="str">
        <x:v>未查到三类完整退休待遇；不可将参保人数替代退休人数。</x:v>
      </x:c>
    </x:row>
    <x:row r="14" ht="21" customHeight="1">
      <x:c r="A14" t="str">
        <x:f>'县级总表2025'!A14</x:f>
        <x:v>景德镇市</x:v>
      </x:c>
      <x:c r="B14" t="str">
        <x:f>'县级总表2025'!B14</x:f>
        <x:v>浮梁县</x:v>
      </x:c>
      <x:c r="C14" t="str">
        <x:f>'县级总表2025'!C14</x:f>
        <x:v>县</x:v>
      </x:c>
      <x:c r="D14" s="14" t="str">
        <x:f>IF(ISNUMBER('县级总表2025'!R14),'县级总表2025'!R14,"")</x:f>
      </x:c>
      <x:c r="E14" s="14" t="str">
        <x:f>IF(ISNUMBER('县级总表2025'!S14),'县级总表2025'!S14,"")</x:f>
      </x:c>
      <x:c r="F14" s="14" t="str">
        <x:f>IF(ISNUMBER('县级总表2025'!T14),'县级总表2025'!T14,"")</x:f>
      </x:c>
      <x:c r="G14" s="14" t="str">
        <x:f>IF(ISNUMBER('县级总表2025'!U14),'县级总表2025'!U14,"")</x:f>
      </x:c>
      <x:c r="H14" s="14" t="str">
        <x:f>IF(ISNUMBER('县级总表2025'!V14),'县级总表2025'!V14,"")</x:f>
      </x:c>
      <x:c r="I14" s="14" t="str">
        <x:f>IF(ISNUMBER('县级总表2025'!W14),'县级总表2025'!W14,"")</x:f>
      </x:c>
      <x:c r="J14" s="14" t="str">
        <x:f>IF(COUNT(G14:I14)=3,SUM(G14:I14),"")</x:f>
      </x:c>
      <x:c r="K14" s="22" t="str">
        <x:f>IF(AND(ISNUMBER(J14),J14&gt;0),H14/J14,"")</x:f>
      </x:c>
      <x:c r="L14" s="23" t="str">
        <x:f>IF(COUNT(D14:F14)=3,SUM(D14:F14),"")</x:f>
      </x:c>
      <x:c r="M14" s="22" t="str">
        <x:f>IF(AND(ISNUMBER(L14),L14&gt;0),E14/L14,"")</x:f>
      </x:c>
      <x:c r="N14" s="26" t="str">
        <x:f>IF(AND(ISNUMBER(D14),D14&gt;0,ISNUMBER(G14)),G14*10000/(D14*12),"")</x:f>
      </x:c>
      <x:c r="O14" s="26" t="str">
        <x:f>IF(AND(ISNUMBER(E14),E14&gt;0,ISNUMBER(H14)),H14*10000/(E14*12),"")</x:f>
      </x:c>
      <x:c r="P14" s="26" t="str">
        <x:f>IF(AND(ISNUMBER(F14),F14&gt;0,ISNUMBER(I14)),I14*10000/(F14*12),"")</x:f>
      </x:c>
      <x:c r="Q14" s="27" t="str">
        <x:f>IF(AND(ISNUMBER(N14),N14&gt;0,ISNUMBER(O14)),O14/N14,"")</x:f>
      </x:c>
      <x:c r="R14" s="27" t="str">
        <x:f>IF(AND(ISNUMBER(P14),P14&gt;0,ISNUMBER(O14)),O14/P14,"")</x:f>
      </x:c>
      <x:c r="S14" t="str">
        <x:f>IF(COUNT(G14:I14)=3,"完整","缺项")</x:f>
        <x:v>缺项</x:v>
      </x:c>
      <x:c r="T14" t="str">
        <x:f>IF(COUNT(D14:F14)=3,"完整","缺项")</x:f>
        <x:v>缺项</x:v>
      </x:c>
      <x:c r="U14" t="str">
        <x:v>https://www.fuliang.gov.cn/zjfl/</x:v>
      </x:c>
      <x:c r="V14" t="str"/>
    </x:row>
    <x:row r="15" ht="21" customHeight="1">
      <x:c r="A15" t="str">
        <x:f>'县级总表2025'!A15</x:f>
        <x:v>萍乡市</x:v>
      </x:c>
      <x:c r="B15" t="str">
        <x:f>'县级总表2025'!B15</x:f>
        <x:v>安源区</x:v>
      </x:c>
      <x:c r="C15" t="str">
        <x:f>'县级总表2025'!C15</x:f>
        <x:v>区</x:v>
      </x:c>
      <x:c r="D15" s="14" t="str">
        <x:f>IF(ISNUMBER('县级总表2025'!R15),'县级总表2025'!R15,"")</x:f>
      </x:c>
      <x:c r="E15" s="14" t="str">
        <x:f>IF(ISNUMBER('县级总表2025'!S15),'县级总表2025'!S15,"")</x:f>
      </x:c>
      <x:c r="F15" s="14" t="str">
        <x:f>IF(ISNUMBER('县级总表2025'!T15),'县级总表2025'!T15,"")</x:f>
      </x:c>
      <x:c r="G15" s="14" t="str">
        <x:f>IF(ISNUMBER('县级总表2025'!U15),'县级总表2025'!U15,"")</x:f>
      </x:c>
      <x:c r="H15" s="14" t="str">
        <x:f>IF(ISNUMBER('县级总表2025'!V15),'县级总表2025'!V15,"")</x:f>
      </x:c>
      <x:c r="I15" s="14" t="str">
        <x:f>IF(ISNUMBER('县级总表2025'!W15),'县级总表2025'!W15,"")</x:f>
      </x:c>
      <x:c r="J15" s="14" t="str">
        <x:f>IF(COUNT(G15:I15)=3,SUM(G15:I15),"")</x:f>
      </x:c>
      <x:c r="K15" s="22" t="str">
        <x:f>IF(AND(ISNUMBER(J15),J15&gt;0),H15/J15,"")</x:f>
      </x:c>
      <x:c r="L15" s="23" t="str">
        <x:f>IF(COUNT(D15:F15)=3,SUM(D15:F15),"")</x:f>
      </x:c>
      <x:c r="M15" s="22" t="str">
        <x:f>IF(AND(ISNUMBER(L15),L15&gt;0),E15/L15,"")</x:f>
      </x:c>
      <x:c r="N15" s="26" t="str">
        <x:f>IF(AND(ISNUMBER(D15),D15&gt;0,ISNUMBER(G15)),G15*10000/(D15*12),"")</x:f>
      </x:c>
      <x:c r="O15" s="26" t="str">
        <x:f>IF(AND(ISNUMBER(E15),E15&gt;0,ISNUMBER(H15)),H15*10000/(E15*12),"")</x:f>
      </x:c>
      <x:c r="P15" s="26" t="str">
        <x:f>IF(AND(ISNUMBER(F15),F15&gt;0,ISNUMBER(I15)),I15*10000/(F15*12),"")</x:f>
      </x:c>
      <x:c r="Q15" s="27" t="str">
        <x:f>IF(AND(ISNUMBER(N15),N15&gt;0,ISNUMBER(O15)),O15/N15,"")</x:f>
      </x:c>
      <x:c r="R15" s="27" t="str">
        <x:f>IF(AND(ISNUMBER(P15),P15&gt;0,ISNUMBER(O15)),O15/P15,"")</x:f>
      </x:c>
      <x:c r="S15" t="str">
        <x:f>IF(COUNT(G15:I15)=3,"完整","缺项")</x:f>
        <x:v>缺项</x:v>
      </x:c>
      <x:c r="T15" t="str">
        <x:f>IF(COUNT(D15:F15)=3,"完整","缺项")</x:f>
        <x:v>缺项</x:v>
      </x:c>
      <x:c r="U15" t="str"/>
      <x:c r="V15" t="str">
        <x:v>未查到三类完整退休待遇；不可将参保人数替代退休人数。</x:v>
      </x:c>
    </x:row>
    <x:row r="16" ht="21" customHeight="1">
      <x:c r="A16" t="str">
        <x:f>'县级总表2025'!A16</x:f>
        <x:v>萍乡市</x:v>
      </x:c>
      <x:c r="B16" t="str">
        <x:f>'县级总表2025'!B16</x:f>
        <x:v>湘东区</x:v>
      </x:c>
      <x:c r="C16" t="str">
        <x:f>'县级总表2025'!C16</x:f>
        <x:v>区</x:v>
      </x:c>
      <x:c r="D16" s="14" t="n">
        <x:f>IF(ISNUMBER('县级总表2025'!R16),'县级总表2025'!R16,"")</x:f>
        <x:v>31160</x:v>
      </x:c>
      <x:c r="E16" s="14" t="n">
        <x:f>IF(ISNUMBER('县级总表2025'!S16),'县级总表2025'!S16,"")</x:f>
        <x:v>3729</x:v>
      </x:c>
      <x:c r="F16" s="14" t="n">
        <x:f>IF(ISNUMBER('县级总表2025'!T16),'县级总表2025'!T16,"")</x:f>
        <x:v>53799</x:v>
      </x:c>
      <x:c r="G16" s="14" t="str">
        <x:f>IF(ISNUMBER('县级总表2025'!U16),'县级总表2025'!U16,"")</x:f>
      </x:c>
      <x:c r="H16" s="14" t="str">
        <x:f>IF(ISNUMBER('县级总表2025'!V16),'县级总表2025'!V16,"")</x:f>
      </x:c>
      <x:c r="I16" s="14" t="str">
        <x:f>IF(ISNUMBER('县级总表2025'!W16),'县级总表2025'!W16,"")</x:f>
      </x:c>
      <x:c r="J16" s="14" t="str">
        <x:f>IF(COUNT(G16:I16)=3,SUM(G16:I16),"")</x:f>
      </x:c>
      <x:c r="K16" s="22" t="str">
        <x:f>IF(AND(ISNUMBER(J16),J16&gt;0),H16/J16,"")</x:f>
      </x:c>
      <x:c r="L16" s="23" t="n">
        <x:f>IF(COUNT(D16:F16)=3,SUM(D16:F16),"")</x:f>
        <x:v>88688</x:v>
      </x:c>
      <x:c r="M16" s="22" t="n">
        <x:f>IF(AND(ISNUMBER(L16),L16&gt;0),E16/L16,"")</x:f>
        <x:v>0.042046274580552045</x:v>
      </x:c>
      <x:c r="N16" s="26" t="str">
        <x:f>IF(AND(ISNUMBER(D16),D16&gt;0,ISNUMBER(G16)),G16*10000/(D16*12),"")</x:f>
      </x:c>
      <x:c r="O16" s="26" t="str">
        <x:f>IF(AND(ISNUMBER(E16),E16&gt;0,ISNUMBER(H16)),H16*10000/(E16*12),"")</x:f>
      </x:c>
      <x:c r="P16" s="26" t="str">
        <x:f>IF(AND(ISNUMBER(F16),F16&gt;0,ISNUMBER(I16)),I16*10000/(F16*12),"")</x:f>
      </x:c>
      <x:c r="Q16" s="27" t="str">
        <x:f>IF(AND(ISNUMBER(N16),N16&gt;0,ISNUMBER(O16)),O16/N16,"")</x:f>
      </x:c>
      <x:c r="R16" s="27" t="str">
        <x:f>IF(AND(ISNUMBER(P16),P16&gt;0,ISNUMBER(O16)),O16/P16,"")</x:f>
      </x:c>
      <x:c r="S16" t="str">
        <x:f>IF(COUNT(G16:I16)=3,"完整","缺项")</x:f>
        <x:v>缺项</x:v>
      </x:c>
      <x:c r="T16" t="str">
        <x:f>IF(COUNT(D16:F16)=3,"完整","缺项")</x:f>
        <x:v>完整</x:v>
      </x:c>
      <x:c r="U16" t="str">
        <x:v>https://tjgb.hongheiku.com/xjtjgb/xj2020/77691.html</x:v>
      </x:c>
      <x:c r="V16" t="str">
        <x:v>三类养老参保人数均含该制度中相关待遇领取人员；不能与仅在职参保口径直接比较。</x:v>
      </x:c>
    </x:row>
    <x:row r="17" ht="21" customHeight="1">
      <x:c r="A17" t="str">
        <x:f>'县级总表2025'!A17</x:f>
        <x:v>萍乡市</x:v>
      </x:c>
      <x:c r="B17" t="str">
        <x:f>'县级总表2025'!B17</x:f>
        <x:v>莲花县</x:v>
      </x:c>
      <x:c r="C17" t="str">
        <x:f>'县级总表2025'!C17</x:f>
        <x:v>县</x:v>
      </x:c>
      <x:c r="D17" s="14" t="str">
        <x:f>IF(ISNUMBER('县级总表2025'!R17),'县级总表2025'!R17,"")</x:f>
      </x:c>
      <x:c r="E17" s="14" t="str">
        <x:f>IF(ISNUMBER('县级总表2025'!S17),'县级总表2025'!S17,"")</x:f>
      </x:c>
      <x:c r="F17" s="14" t="str">
        <x:f>IF(ISNUMBER('县级总表2025'!T17),'县级总表2025'!T17,"")</x:f>
      </x:c>
      <x:c r="G17" s="14" t="str">
        <x:f>IF(ISNUMBER('县级总表2025'!U17),'县级总表2025'!U17,"")</x:f>
      </x:c>
      <x:c r="H17" s="14" t="str">
        <x:f>IF(ISNUMBER('县级总表2025'!V17),'县级总表2025'!V17,"")</x:f>
      </x:c>
      <x:c r="I17" s="14" t="str">
        <x:f>IF(ISNUMBER('县级总表2025'!W17),'县级总表2025'!W17,"")</x:f>
      </x:c>
      <x:c r="J17" s="14" t="str">
        <x:f>IF(COUNT(G17:I17)=3,SUM(G17:I17),"")</x:f>
      </x:c>
      <x:c r="K17" s="22" t="str">
        <x:f>IF(AND(ISNUMBER(J17),J17&gt;0),H17/J17,"")</x:f>
      </x:c>
      <x:c r="L17" s="23" t="str">
        <x:f>IF(COUNT(D17:F17)=3,SUM(D17:F17),"")</x:f>
      </x:c>
      <x:c r="M17" s="22" t="str">
        <x:f>IF(AND(ISNUMBER(L17),L17&gt;0),E17/L17,"")</x:f>
      </x:c>
      <x:c r="N17" s="26" t="str">
        <x:f>IF(AND(ISNUMBER(D17),D17&gt;0,ISNUMBER(G17)),G17*10000/(D17*12),"")</x:f>
      </x:c>
      <x:c r="O17" s="26" t="str">
        <x:f>IF(AND(ISNUMBER(E17),E17&gt;0,ISNUMBER(H17)),H17*10000/(E17*12),"")</x:f>
      </x:c>
      <x:c r="P17" s="26" t="str">
        <x:f>IF(AND(ISNUMBER(F17),F17&gt;0,ISNUMBER(I17)),I17*10000/(F17*12),"")</x:f>
      </x:c>
      <x:c r="Q17" s="27" t="str">
        <x:f>IF(AND(ISNUMBER(N17),N17&gt;0,ISNUMBER(O17)),O17/N17,"")</x:f>
      </x:c>
      <x:c r="R17" s="27" t="str">
        <x:f>IF(AND(ISNUMBER(P17),P17&gt;0,ISNUMBER(O17)),O17/P17,"")</x:f>
      </x:c>
      <x:c r="S17" t="str">
        <x:f>IF(COUNT(G17:I17)=3,"完整","缺项")</x:f>
        <x:v>缺项</x:v>
      </x:c>
      <x:c r="T17" t="str">
        <x:f>IF(COUNT(D17:F17)=3,"完整","缺项")</x:f>
        <x:v>缺项</x:v>
      </x:c>
      <x:c r="U17" t="str"/>
      <x:c r="V17" t="str">
        <x:v>未查到三类完整退休待遇；不可将参保人数替代退休人数。</x:v>
      </x:c>
    </x:row>
    <x:row r="18" ht="21" customHeight="1">
      <x:c r="A18" t="str">
        <x:f>'县级总表2025'!A18</x:f>
        <x:v>萍乡市</x:v>
      </x:c>
      <x:c r="B18" t="str">
        <x:f>'县级总表2025'!B18</x:f>
        <x:v>上栗县</x:v>
      </x:c>
      <x:c r="C18" t="str">
        <x:f>'县级总表2025'!C18</x:f>
        <x:v>县</x:v>
      </x:c>
      <x:c r="D18" s="14" t="str">
        <x:f>IF(ISNUMBER('县级总表2025'!R18),'县级总表2025'!R18,"")</x:f>
      </x:c>
      <x:c r="E18" s="14" t="str">
        <x:f>IF(ISNUMBER('县级总表2025'!S18),'县级总表2025'!S18,"")</x:f>
      </x:c>
      <x:c r="F18" s="14" t="str">
        <x:f>IF(ISNUMBER('县级总表2025'!T18),'县级总表2025'!T18,"")</x:f>
      </x:c>
      <x:c r="G18" s="14" t="str">
        <x:f>IF(ISNUMBER('县级总表2025'!U18),'县级总表2025'!U18,"")</x:f>
      </x:c>
      <x:c r="H18" s="14" t="str">
        <x:f>IF(ISNUMBER('县级总表2025'!V18),'县级总表2025'!V18,"")</x:f>
      </x:c>
      <x:c r="I18" s="14" t="str">
        <x:f>IF(ISNUMBER('县级总表2025'!W18),'县级总表2025'!W18,"")</x:f>
      </x:c>
      <x:c r="J18" s="14" t="str">
        <x:f>IF(COUNT(G18:I18)=3,SUM(G18:I18),"")</x:f>
      </x:c>
      <x:c r="K18" s="22" t="str">
        <x:f>IF(AND(ISNUMBER(J18),J18&gt;0),H18/J18,"")</x:f>
      </x:c>
      <x:c r="L18" s="23" t="str">
        <x:f>IF(COUNT(D18:F18)=3,SUM(D18:F18),"")</x:f>
      </x:c>
      <x:c r="M18" s="22" t="str">
        <x:f>IF(AND(ISNUMBER(L18),L18&gt;0),E18/L18,"")</x:f>
      </x:c>
      <x:c r="N18" s="26" t="str">
        <x:f>IF(AND(ISNUMBER(D18),D18&gt;0,ISNUMBER(G18)),G18*10000/(D18*12),"")</x:f>
      </x:c>
      <x:c r="O18" s="26" t="str">
        <x:f>IF(AND(ISNUMBER(E18),E18&gt;0,ISNUMBER(H18)),H18*10000/(E18*12),"")</x:f>
      </x:c>
      <x:c r="P18" s="26" t="str">
        <x:f>IF(AND(ISNUMBER(F18),F18&gt;0,ISNUMBER(I18)),I18*10000/(F18*12),"")</x:f>
      </x:c>
      <x:c r="Q18" s="27" t="str">
        <x:f>IF(AND(ISNUMBER(N18),N18&gt;0,ISNUMBER(O18)),O18/N18,"")</x:f>
      </x:c>
      <x:c r="R18" s="27" t="str">
        <x:f>IF(AND(ISNUMBER(P18),P18&gt;0,ISNUMBER(O18)),O18/P18,"")</x:f>
      </x:c>
      <x:c r="S18" t="str">
        <x:f>IF(COUNT(G18:I18)=3,"完整","缺项")</x:f>
        <x:v>缺项</x:v>
      </x:c>
      <x:c r="T18" t="str">
        <x:f>IF(COUNT(D18:F18)=3,"完整","缺项")</x:f>
        <x:v>缺项</x:v>
      </x:c>
      <x:c r="U18" t="str"/>
      <x:c r="V18" t="str">
        <x:v>未查到三类完整退休待遇；不可将参保人数替代退休人数。</x:v>
      </x:c>
    </x:row>
    <x:row r="19" ht="21" customHeight="1">
      <x:c r="A19" t="str">
        <x:f>'县级总表2025'!A19</x:f>
        <x:v>萍乡市</x:v>
      </x:c>
      <x:c r="B19" t="str">
        <x:f>'县级总表2025'!B19</x:f>
        <x:v>芦溪县</x:v>
      </x:c>
      <x:c r="C19" t="str">
        <x:f>'县级总表2025'!C19</x:f>
        <x:v>县</x:v>
      </x:c>
      <x:c r="D19" s="14" t="str">
        <x:f>IF(ISNUMBER('县级总表2025'!R19),'县级总表2025'!R19,"")</x:f>
      </x:c>
      <x:c r="E19" s="14" t="str">
        <x:f>IF(ISNUMBER('县级总表2025'!S19),'县级总表2025'!S19,"")</x:f>
      </x:c>
      <x:c r="F19" s="14" t="str">
        <x:f>IF(ISNUMBER('县级总表2025'!T19),'县级总表2025'!T19,"")</x:f>
      </x:c>
      <x:c r="G19" s="14" t="str">
        <x:f>IF(ISNUMBER('县级总表2025'!U19),'县级总表2025'!U19,"")</x:f>
      </x:c>
      <x:c r="H19" s="14" t="str">
        <x:f>IF(ISNUMBER('县级总表2025'!V19),'县级总表2025'!V19,"")</x:f>
      </x:c>
      <x:c r="I19" s="14" t="str">
        <x:f>IF(ISNUMBER('县级总表2025'!W19),'县级总表2025'!W19,"")</x:f>
      </x:c>
      <x:c r="J19" s="14" t="str">
        <x:f>IF(COUNT(G19:I19)=3,SUM(G19:I19),"")</x:f>
      </x:c>
      <x:c r="K19" s="22" t="str">
        <x:f>IF(AND(ISNUMBER(J19),J19&gt;0),H19/J19,"")</x:f>
      </x:c>
      <x:c r="L19" s="23" t="str">
        <x:f>IF(COUNT(D19:F19)=3,SUM(D19:F19),"")</x:f>
      </x:c>
      <x:c r="M19" s="22" t="str">
        <x:f>IF(AND(ISNUMBER(L19),L19&gt;0),E19/L19,"")</x:f>
      </x:c>
      <x:c r="N19" s="26" t="str">
        <x:f>IF(AND(ISNUMBER(D19),D19&gt;0,ISNUMBER(G19)),G19*10000/(D19*12),"")</x:f>
      </x:c>
      <x:c r="O19" s="26" t="str">
        <x:f>IF(AND(ISNUMBER(E19),E19&gt;0,ISNUMBER(H19)),H19*10000/(E19*12),"")</x:f>
      </x:c>
      <x:c r="P19" s="26" t="str">
        <x:f>IF(AND(ISNUMBER(F19),F19&gt;0,ISNUMBER(I19)),I19*10000/(F19*12),"")</x:f>
      </x:c>
      <x:c r="Q19" s="27" t="str">
        <x:f>IF(AND(ISNUMBER(N19),N19&gt;0,ISNUMBER(O19)),O19/N19,"")</x:f>
      </x:c>
      <x:c r="R19" s="27" t="str">
        <x:f>IF(AND(ISNUMBER(P19),P19&gt;0,ISNUMBER(O19)),O19/P19,"")</x:f>
      </x:c>
      <x:c r="S19" t="str">
        <x:f>IF(COUNT(G19:I19)=3,"完整","缺项")</x:f>
        <x:v>缺项</x:v>
      </x:c>
      <x:c r="T19" t="str">
        <x:f>IF(COUNT(D19:F19)=3,"完整","缺项")</x:f>
        <x:v>缺项</x:v>
      </x:c>
      <x:c r="U19" t="str"/>
      <x:c r="V19" t="str">
        <x:v>未查到三类完整退休待遇；不可将参保人数替代退休人数。</x:v>
      </x:c>
    </x:row>
    <x:row r="20" ht="21" customHeight="1">
      <x:c r="A20" t="str">
        <x:f>'县级总表2025'!A20</x:f>
        <x:v>九江市</x:v>
      </x:c>
      <x:c r="B20" t="str">
        <x:f>'县级总表2025'!B20</x:f>
        <x:v>濂溪区</x:v>
      </x:c>
      <x:c r="C20" t="str">
        <x:f>'县级总表2025'!C20</x:f>
        <x:v>区</x:v>
      </x:c>
      <x:c r="D20" s="14" t="str">
        <x:f>IF(ISNUMBER('县级总表2025'!R20),'县级总表2025'!R20,"")</x:f>
      </x:c>
      <x:c r="E20" s="14" t="str">
        <x:f>IF(ISNUMBER('县级总表2025'!S20),'县级总表2025'!S20,"")</x:f>
      </x:c>
      <x:c r="F20" s="14" t="str">
        <x:f>IF(ISNUMBER('县级总表2025'!T20),'县级总表2025'!T20,"")</x:f>
      </x:c>
      <x:c r="G20" s="14" t="str">
        <x:f>IF(ISNUMBER('县级总表2025'!U20),'县级总表2025'!U20,"")</x:f>
      </x:c>
      <x:c r="H20" s="14" t="str">
        <x:f>IF(ISNUMBER('县级总表2025'!V20),'县级总表2025'!V20,"")</x:f>
      </x:c>
      <x:c r="I20" s="14" t="str">
        <x:f>IF(ISNUMBER('县级总表2025'!W20),'县级总表2025'!W20,"")</x:f>
      </x:c>
      <x:c r="J20" s="14" t="str">
        <x:f>IF(COUNT(G20:I20)=3,SUM(G20:I20),"")</x:f>
      </x:c>
      <x:c r="K20" s="22" t="str">
        <x:f>IF(AND(ISNUMBER(J20),J20&gt;0),H20/J20,"")</x:f>
      </x:c>
      <x:c r="L20" s="23" t="str">
        <x:f>IF(COUNT(D20:F20)=3,SUM(D20:F20),"")</x:f>
      </x:c>
      <x:c r="M20" s="22" t="str">
        <x:f>IF(AND(ISNUMBER(L20),L20&gt;0),E20/L20,"")</x:f>
      </x:c>
      <x:c r="N20" s="26" t="str">
        <x:f>IF(AND(ISNUMBER(D20),D20&gt;0,ISNUMBER(G20)),G20*10000/(D20*12),"")</x:f>
      </x:c>
      <x:c r="O20" s="26" t="str">
        <x:f>IF(AND(ISNUMBER(E20),E20&gt;0,ISNUMBER(H20)),H20*10000/(E20*12),"")</x:f>
      </x:c>
      <x:c r="P20" s="26" t="str">
        <x:f>IF(AND(ISNUMBER(F20),F20&gt;0,ISNUMBER(I20)),I20*10000/(F20*12),"")</x:f>
      </x:c>
      <x:c r="Q20" s="27" t="str">
        <x:f>IF(AND(ISNUMBER(N20),N20&gt;0,ISNUMBER(O20)),O20/N20,"")</x:f>
      </x:c>
      <x:c r="R20" s="27" t="str">
        <x:f>IF(AND(ISNUMBER(P20),P20&gt;0,ISNUMBER(O20)),O20/P20,"")</x:f>
      </x:c>
      <x:c r="S20" t="str">
        <x:f>IF(COUNT(G20:I20)=3,"完整","缺项")</x:f>
        <x:v>缺项</x:v>
      </x:c>
      <x:c r="T20" t="str">
        <x:f>IF(COUNT(D20:F20)=3,"完整","缺项")</x:f>
        <x:v>缺项</x:v>
      </x:c>
      <x:c r="U20" t="str"/>
      <x:c r="V20" t="str">
        <x:v>未查到三类完整退休待遇；不可将参保人数替代退休人数。</x:v>
      </x:c>
    </x:row>
    <x:row r="21" ht="21" customHeight="1">
      <x:c r="A21" t="str">
        <x:f>'县级总表2025'!A21</x:f>
        <x:v>九江市</x:v>
      </x:c>
      <x:c r="B21" t="str">
        <x:f>'县级总表2025'!B21</x:f>
        <x:v>浔阳区</x:v>
      </x:c>
      <x:c r="C21" t="str">
        <x:f>'县级总表2025'!C21</x:f>
        <x:v>区</x:v>
      </x:c>
      <x:c r="D21" s="14" t="str">
        <x:f>IF(ISNUMBER('县级总表2025'!R21),'县级总表2025'!R21,"")</x:f>
      </x:c>
      <x:c r="E21" s="14" t="str">
        <x:f>IF(ISNUMBER('县级总表2025'!S21),'县级总表2025'!S21,"")</x:f>
      </x:c>
      <x:c r="F21" s="14" t="str">
        <x:f>IF(ISNUMBER('县级总表2025'!T21),'县级总表2025'!T21,"")</x:f>
      </x:c>
      <x:c r="G21" s="14" t="str">
        <x:f>IF(ISNUMBER('县级总表2025'!U21),'县级总表2025'!U21,"")</x:f>
      </x:c>
      <x:c r="H21" s="14" t="str">
        <x:f>IF(ISNUMBER('县级总表2025'!V21),'县级总表2025'!V21,"")</x:f>
      </x:c>
      <x:c r="I21" s="14" t="str">
        <x:f>IF(ISNUMBER('县级总表2025'!W21),'县级总表2025'!W21,"")</x:f>
      </x:c>
      <x:c r="J21" s="14" t="str">
        <x:f>IF(COUNT(G21:I21)=3,SUM(G21:I21),"")</x:f>
      </x:c>
      <x:c r="K21" s="22" t="str">
        <x:f>IF(AND(ISNUMBER(J21),J21&gt;0),H21/J21,"")</x:f>
      </x:c>
      <x:c r="L21" s="23" t="str">
        <x:f>IF(COUNT(D21:F21)=3,SUM(D21:F21),"")</x:f>
      </x:c>
      <x:c r="M21" s="22" t="str">
        <x:f>IF(AND(ISNUMBER(L21),L21&gt;0),E21/L21,"")</x:f>
      </x:c>
      <x:c r="N21" s="26" t="str">
        <x:f>IF(AND(ISNUMBER(D21),D21&gt;0,ISNUMBER(G21)),G21*10000/(D21*12),"")</x:f>
      </x:c>
      <x:c r="O21" s="26" t="str">
        <x:f>IF(AND(ISNUMBER(E21),E21&gt;0,ISNUMBER(H21)),H21*10000/(E21*12),"")</x:f>
      </x:c>
      <x:c r="P21" s="26" t="str">
        <x:f>IF(AND(ISNUMBER(F21),F21&gt;0,ISNUMBER(I21)),I21*10000/(F21*12),"")</x:f>
      </x:c>
      <x:c r="Q21" s="27" t="str">
        <x:f>IF(AND(ISNUMBER(N21),N21&gt;0,ISNUMBER(O21)),O21/N21,"")</x:f>
      </x:c>
      <x:c r="R21" s="27" t="str">
        <x:f>IF(AND(ISNUMBER(P21),P21&gt;0,ISNUMBER(O21)),O21/P21,"")</x:f>
      </x:c>
      <x:c r="S21" t="str">
        <x:f>IF(COUNT(G21:I21)=3,"完整","缺项")</x:f>
        <x:v>缺项</x:v>
      </x:c>
      <x:c r="T21" t="str">
        <x:f>IF(COUNT(D21:F21)=3,"完整","缺项")</x:f>
        <x:v>缺项</x:v>
      </x:c>
      <x:c r="U21" t="str"/>
      <x:c r="V21" t="str">
        <x:v>未查到三类完整退休待遇；不可将参保人数替代退休人数。</x:v>
      </x:c>
    </x:row>
    <x:row r="22" ht="21" customHeight="1">
      <x:c r="A22" t="str">
        <x:f>'县级总表2025'!A22</x:f>
        <x:v>九江市</x:v>
      </x:c>
      <x:c r="B22" t="str">
        <x:f>'县级总表2025'!B22</x:f>
        <x:v>柴桑区</x:v>
      </x:c>
      <x:c r="C22" t="str">
        <x:f>'县级总表2025'!C22</x:f>
        <x:v>区</x:v>
      </x:c>
      <x:c r="D22" s="14" t="str">
        <x:f>IF(ISNUMBER('县级总表2025'!R22),'县级总表2025'!R22,"")</x:f>
      </x:c>
      <x:c r="E22" s="14" t="str">
        <x:f>IF(ISNUMBER('县级总表2025'!S22),'县级总表2025'!S22,"")</x:f>
      </x:c>
      <x:c r="F22" s="14" t="str">
        <x:f>IF(ISNUMBER('县级总表2025'!T22),'县级总表2025'!T22,"")</x:f>
      </x:c>
      <x:c r="G22" s="14" t="str">
        <x:f>IF(ISNUMBER('县级总表2025'!U22),'县级总表2025'!U22,"")</x:f>
      </x:c>
      <x:c r="H22" s="14" t="str">
        <x:f>IF(ISNUMBER('县级总表2025'!V22),'县级总表2025'!V22,"")</x:f>
      </x:c>
      <x:c r="I22" s="14" t="str">
        <x:f>IF(ISNUMBER('县级总表2025'!W22),'县级总表2025'!W22,"")</x:f>
      </x:c>
      <x:c r="J22" s="14" t="str">
        <x:f>IF(COUNT(G22:I22)=3,SUM(G22:I22),"")</x:f>
      </x:c>
      <x:c r="K22" s="22" t="str">
        <x:f>IF(AND(ISNUMBER(J22),J22&gt;0),H22/J22,"")</x:f>
      </x:c>
      <x:c r="L22" s="23" t="str">
        <x:f>IF(COUNT(D22:F22)=3,SUM(D22:F22),"")</x:f>
      </x:c>
      <x:c r="M22" s="22" t="str">
        <x:f>IF(AND(ISNUMBER(L22),L22&gt;0),E22/L22,"")</x:f>
      </x:c>
      <x:c r="N22" s="26" t="str">
        <x:f>IF(AND(ISNUMBER(D22),D22&gt;0,ISNUMBER(G22)),G22*10000/(D22*12),"")</x:f>
      </x:c>
      <x:c r="O22" s="26" t="str">
        <x:f>IF(AND(ISNUMBER(E22),E22&gt;0,ISNUMBER(H22)),H22*10000/(E22*12),"")</x:f>
      </x:c>
      <x:c r="P22" s="26" t="str">
        <x:f>IF(AND(ISNUMBER(F22),F22&gt;0,ISNUMBER(I22)),I22*10000/(F22*12),"")</x:f>
      </x:c>
      <x:c r="Q22" s="27" t="str">
        <x:f>IF(AND(ISNUMBER(N22),N22&gt;0,ISNUMBER(O22)),O22/N22,"")</x:f>
      </x:c>
      <x:c r="R22" s="27" t="str">
        <x:f>IF(AND(ISNUMBER(P22),P22&gt;0,ISNUMBER(O22)),O22/P22,"")</x:f>
      </x:c>
      <x:c r="S22" t="str">
        <x:f>IF(COUNT(G22:I22)=3,"完整","缺项")</x:f>
        <x:v>缺项</x:v>
      </x:c>
      <x:c r="T22" t="str">
        <x:f>IF(COUNT(D22:F22)=3,"完整","缺项")</x:f>
        <x:v>缺项</x:v>
      </x:c>
      <x:c r="U22" t="str"/>
      <x:c r="V22" t="str">
        <x:v>未查到三类完整退休待遇；不可将参保人数替代退休人数。</x:v>
      </x:c>
    </x:row>
    <x:row r="23" ht="21" customHeight="1">
      <x:c r="A23" t="str">
        <x:f>'县级总表2025'!A23</x:f>
        <x:v>九江市</x:v>
      </x:c>
      <x:c r="B23" t="str">
        <x:f>'县级总表2025'!B23</x:f>
        <x:v>瑞昌市</x:v>
      </x:c>
      <x:c r="C23" t="str">
        <x:f>'县级总表2025'!C23</x:f>
        <x:v>县级市</x:v>
      </x:c>
      <x:c r="D23" s="14" t="str">
        <x:f>IF(ISNUMBER('县级总表2025'!R23),'县级总表2025'!R23,"")</x:f>
      </x:c>
      <x:c r="E23" s="14" t="str">
        <x:f>IF(ISNUMBER('县级总表2025'!S23),'县级总表2025'!S23,"")</x:f>
      </x:c>
      <x:c r="F23" s="14" t="str">
        <x:f>IF(ISNUMBER('县级总表2025'!T23),'县级总表2025'!T23,"")</x:f>
      </x:c>
      <x:c r="G23" s="14" t="str">
        <x:f>IF(ISNUMBER('县级总表2025'!U23),'县级总表2025'!U23,"")</x:f>
      </x:c>
      <x:c r="H23" s="14" t="str">
        <x:f>IF(ISNUMBER('县级总表2025'!V23),'县级总表2025'!V23,"")</x:f>
      </x:c>
      <x:c r="I23" s="14" t="str">
        <x:f>IF(ISNUMBER('县级总表2025'!W23),'县级总表2025'!W23,"")</x:f>
      </x:c>
      <x:c r="J23" s="14" t="str">
        <x:f>IF(COUNT(G23:I23)=3,SUM(G23:I23),"")</x:f>
      </x:c>
      <x:c r="K23" s="22" t="str">
        <x:f>IF(AND(ISNUMBER(J23),J23&gt;0),H23/J23,"")</x:f>
      </x:c>
      <x:c r="L23" s="23" t="str">
        <x:f>IF(COUNT(D23:F23)=3,SUM(D23:F23),"")</x:f>
      </x:c>
      <x:c r="M23" s="22" t="str">
        <x:f>IF(AND(ISNUMBER(L23),L23&gt;0),E23/L23,"")</x:f>
      </x:c>
      <x:c r="N23" s="26" t="str">
        <x:f>IF(AND(ISNUMBER(D23),D23&gt;0,ISNUMBER(G23)),G23*10000/(D23*12),"")</x:f>
      </x:c>
      <x:c r="O23" s="26" t="str">
        <x:f>IF(AND(ISNUMBER(E23),E23&gt;0,ISNUMBER(H23)),H23*10000/(E23*12),"")</x:f>
      </x:c>
      <x:c r="P23" s="26" t="str">
        <x:f>IF(AND(ISNUMBER(F23),F23&gt;0,ISNUMBER(I23)),I23*10000/(F23*12),"")</x:f>
      </x:c>
      <x:c r="Q23" s="27" t="str">
        <x:f>IF(AND(ISNUMBER(N23),N23&gt;0,ISNUMBER(O23)),O23/N23,"")</x:f>
      </x:c>
      <x:c r="R23" s="27" t="str">
        <x:f>IF(AND(ISNUMBER(P23),P23&gt;0,ISNUMBER(O23)),O23/P23,"")</x:f>
      </x:c>
      <x:c r="S23" t="str">
        <x:f>IF(COUNT(G23:I23)=3,"完整","缺项")</x:f>
        <x:v>缺项</x:v>
      </x:c>
      <x:c r="T23" t="str">
        <x:f>IF(COUNT(D23:F23)=3,"完整","缺项")</x:f>
        <x:v>缺项</x:v>
      </x:c>
      <x:c r="U23" t="str"/>
      <x:c r="V23" t="str">
        <x:v>未查到三类完整退休待遇；不可将参保人数替代退休人数。</x:v>
      </x:c>
    </x:row>
    <x:row r="24" ht="21" customHeight="1">
      <x:c r="A24" t="str">
        <x:f>'县级总表2025'!A24</x:f>
        <x:v>九江市</x:v>
      </x:c>
      <x:c r="B24" t="str">
        <x:f>'县级总表2025'!B24</x:f>
        <x:v>共青城市</x:v>
      </x:c>
      <x:c r="C24" t="str">
        <x:f>'县级总表2025'!C24</x:f>
        <x:v>县级市</x:v>
      </x:c>
      <x:c r="D24" s="14" t="str">
        <x:f>IF(ISNUMBER('县级总表2025'!R24),'县级总表2025'!R24,"")</x:f>
      </x:c>
      <x:c r="E24" s="14" t="str">
        <x:f>IF(ISNUMBER('县级总表2025'!S24),'县级总表2025'!S24,"")</x:f>
      </x:c>
      <x:c r="F24" s="14" t="str">
        <x:f>IF(ISNUMBER('县级总表2025'!T24),'县级总表2025'!T24,"")</x:f>
      </x:c>
      <x:c r="G24" s="14" t="str">
        <x:f>IF(ISNUMBER('县级总表2025'!U24),'县级总表2025'!U24,"")</x:f>
      </x:c>
      <x:c r="H24" s="14" t="str">
        <x:f>IF(ISNUMBER('县级总表2025'!V24),'县级总表2025'!V24,"")</x:f>
      </x:c>
      <x:c r="I24" s="14" t="str">
        <x:f>IF(ISNUMBER('县级总表2025'!W24),'县级总表2025'!W24,"")</x:f>
      </x:c>
      <x:c r="J24" s="14" t="str">
        <x:f>IF(COUNT(G24:I24)=3,SUM(G24:I24),"")</x:f>
      </x:c>
      <x:c r="K24" s="22" t="str">
        <x:f>IF(AND(ISNUMBER(J24),J24&gt;0),H24/J24,"")</x:f>
      </x:c>
      <x:c r="L24" s="23" t="str">
        <x:f>IF(COUNT(D24:F24)=3,SUM(D24:F24),"")</x:f>
      </x:c>
      <x:c r="M24" s="22" t="str">
        <x:f>IF(AND(ISNUMBER(L24),L24&gt;0),E24/L24,"")</x:f>
      </x:c>
      <x:c r="N24" s="26" t="str">
        <x:f>IF(AND(ISNUMBER(D24),D24&gt;0,ISNUMBER(G24)),G24*10000/(D24*12),"")</x:f>
      </x:c>
      <x:c r="O24" s="26" t="str">
        <x:f>IF(AND(ISNUMBER(E24),E24&gt;0,ISNUMBER(H24)),H24*10000/(E24*12),"")</x:f>
      </x:c>
      <x:c r="P24" s="26" t="str">
        <x:f>IF(AND(ISNUMBER(F24),F24&gt;0,ISNUMBER(I24)),I24*10000/(F24*12),"")</x:f>
      </x:c>
      <x:c r="Q24" s="27" t="str">
        <x:f>IF(AND(ISNUMBER(N24),N24&gt;0,ISNUMBER(O24)),O24/N24,"")</x:f>
      </x:c>
      <x:c r="R24" s="27" t="str">
        <x:f>IF(AND(ISNUMBER(P24),P24&gt;0,ISNUMBER(O24)),O24/P24,"")</x:f>
      </x:c>
      <x:c r="S24" t="str">
        <x:f>IF(COUNT(G24:I24)=3,"完整","缺项")</x:f>
        <x:v>缺项</x:v>
      </x:c>
      <x:c r="T24" t="str">
        <x:f>IF(COUNT(D24:F24)=3,"完整","缺项")</x:f>
        <x:v>缺项</x:v>
      </x:c>
      <x:c r="U24" t="str"/>
      <x:c r="V24" t="str">
        <x:v>未查到三类完整退休待遇；不可将参保人数替代退休人数。</x:v>
      </x:c>
    </x:row>
    <x:row r="25" ht="21" customHeight="1">
      <x:c r="A25" t="str">
        <x:f>'县级总表2025'!A25</x:f>
        <x:v>九江市</x:v>
      </x:c>
      <x:c r="B25" t="str">
        <x:f>'县级总表2025'!B25</x:f>
        <x:v>庐山市</x:v>
      </x:c>
      <x:c r="C25" t="str">
        <x:f>'县级总表2025'!C25</x:f>
        <x:v>县级市</x:v>
      </x:c>
      <x:c r="D25" s="14" t="str">
        <x:f>IF(ISNUMBER('县级总表2025'!R25),'县级总表2025'!R25,"")</x:f>
      </x:c>
      <x:c r="E25" s="14" t="str">
        <x:f>IF(ISNUMBER('县级总表2025'!S25),'县级总表2025'!S25,"")</x:f>
      </x:c>
      <x:c r="F25" s="14" t="str">
        <x:f>IF(ISNUMBER('县级总表2025'!T25),'县级总表2025'!T25,"")</x:f>
      </x:c>
      <x:c r="G25" s="14" t="str">
        <x:f>IF(ISNUMBER('县级总表2025'!U25),'县级总表2025'!U25,"")</x:f>
      </x:c>
      <x:c r="H25" s="14" t="str">
        <x:f>IF(ISNUMBER('县级总表2025'!V25),'县级总表2025'!V25,"")</x:f>
      </x:c>
      <x:c r="I25" s="14" t="str">
        <x:f>IF(ISNUMBER('县级总表2025'!W25),'县级总表2025'!W25,"")</x:f>
      </x:c>
      <x:c r="J25" s="14" t="str">
        <x:f>IF(COUNT(G25:I25)=3,SUM(G25:I25),"")</x:f>
      </x:c>
      <x:c r="K25" s="22" t="str">
        <x:f>IF(AND(ISNUMBER(J25),J25&gt;0),H25/J25,"")</x:f>
      </x:c>
      <x:c r="L25" s="23" t="str">
        <x:f>IF(COUNT(D25:F25)=3,SUM(D25:F25),"")</x:f>
      </x:c>
      <x:c r="M25" s="22" t="str">
        <x:f>IF(AND(ISNUMBER(L25),L25&gt;0),E25/L25,"")</x:f>
      </x:c>
      <x:c r="N25" s="26" t="str">
        <x:f>IF(AND(ISNUMBER(D25),D25&gt;0,ISNUMBER(G25)),G25*10000/(D25*12),"")</x:f>
      </x:c>
      <x:c r="O25" s="26" t="str">
        <x:f>IF(AND(ISNUMBER(E25),E25&gt;0,ISNUMBER(H25)),H25*10000/(E25*12),"")</x:f>
      </x:c>
      <x:c r="P25" s="26" t="str">
        <x:f>IF(AND(ISNUMBER(F25),F25&gt;0,ISNUMBER(I25)),I25*10000/(F25*12),"")</x:f>
      </x:c>
      <x:c r="Q25" s="27" t="str">
        <x:f>IF(AND(ISNUMBER(N25),N25&gt;0,ISNUMBER(O25)),O25/N25,"")</x:f>
      </x:c>
      <x:c r="R25" s="27" t="str">
        <x:f>IF(AND(ISNUMBER(P25),P25&gt;0,ISNUMBER(O25)),O25/P25,"")</x:f>
      </x:c>
      <x:c r="S25" t="str">
        <x:f>IF(COUNT(G25:I25)=3,"完整","缺项")</x:f>
        <x:v>缺项</x:v>
      </x:c>
      <x:c r="T25" t="str">
        <x:f>IF(COUNT(D25:F25)=3,"完整","缺项")</x:f>
        <x:v>缺项</x:v>
      </x:c>
      <x:c r="U25" t="str"/>
      <x:c r="V25" t="str">
        <x:v>未查到三类完整退休待遇；不可将参保人数替代退休人数。</x:v>
      </x:c>
    </x:row>
    <x:row r="26" ht="21" customHeight="1">
      <x:c r="A26" t="str">
        <x:f>'县级总表2025'!A26</x:f>
        <x:v>九江市</x:v>
      </x:c>
      <x:c r="B26" t="str">
        <x:f>'县级总表2025'!B26</x:f>
        <x:v>武宁县</x:v>
      </x:c>
      <x:c r="C26" t="str">
        <x:f>'县级总表2025'!C26</x:f>
        <x:v>县</x:v>
      </x:c>
      <x:c r="D26" s="14" t="str">
        <x:f>IF(ISNUMBER('县级总表2025'!R26),'县级总表2025'!R26,"")</x:f>
      </x:c>
      <x:c r="E26" s="14" t="str">
        <x:f>IF(ISNUMBER('县级总表2025'!S26),'县级总表2025'!S26,"")</x:f>
      </x:c>
      <x:c r="F26" s="14" t="str">
        <x:f>IF(ISNUMBER('县级总表2025'!T26),'县级总表2025'!T26,"")</x:f>
      </x:c>
      <x:c r="G26" s="14" t="str">
        <x:f>IF(ISNUMBER('县级总表2025'!U26),'县级总表2025'!U26,"")</x:f>
      </x:c>
      <x:c r="H26" s="14" t="str">
        <x:f>IF(ISNUMBER('县级总表2025'!V26),'县级总表2025'!V26,"")</x:f>
      </x:c>
      <x:c r="I26" s="14" t="str">
        <x:f>IF(ISNUMBER('县级总表2025'!W26),'县级总表2025'!W26,"")</x:f>
      </x:c>
      <x:c r="J26" s="14" t="str">
        <x:f>IF(COUNT(G26:I26)=3,SUM(G26:I26),"")</x:f>
      </x:c>
      <x:c r="K26" s="22" t="str">
        <x:f>IF(AND(ISNUMBER(J26),J26&gt;0),H26/J26,"")</x:f>
      </x:c>
      <x:c r="L26" s="23" t="str">
        <x:f>IF(COUNT(D26:F26)=3,SUM(D26:F26),"")</x:f>
      </x:c>
      <x:c r="M26" s="22" t="str">
        <x:f>IF(AND(ISNUMBER(L26),L26&gt;0),E26/L26,"")</x:f>
      </x:c>
      <x:c r="N26" s="26" t="str">
        <x:f>IF(AND(ISNUMBER(D26),D26&gt;0,ISNUMBER(G26)),G26*10000/(D26*12),"")</x:f>
      </x:c>
      <x:c r="O26" s="26" t="str">
        <x:f>IF(AND(ISNUMBER(E26),E26&gt;0,ISNUMBER(H26)),H26*10000/(E26*12),"")</x:f>
      </x:c>
      <x:c r="P26" s="26" t="str">
        <x:f>IF(AND(ISNUMBER(F26),F26&gt;0,ISNUMBER(I26)),I26*10000/(F26*12),"")</x:f>
      </x:c>
      <x:c r="Q26" s="27" t="str">
        <x:f>IF(AND(ISNUMBER(N26),N26&gt;0,ISNUMBER(O26)),O26/N26,"")</x:f>
      </x:c>
      <x:c r="R26" s="27" t="str">
        <x:f>IF(AND(ISNUMBER(P26),P26&gt;0,ISNUMBER(O26)),O26/P26,"")</x:f>
      </x:c>
      <x:c r="S26" t="str">
        <x:f>IF(COUNT(G26:I26)=3,"完整","缺项")</x:f>
        <x:v>缺项</x:v>
      </x:c>
      <x:c r="T26" t="str">
        <x:f>IF(COUNT(D26:F26)=3,"完整","缺项")</x:f>
        <x:v>缺项</x:v>
      </x:c>
      <x:c r="U26" t="str">
        <x:v>https://maptable.com/tjgb/2025/%E4%B9%9D%E6%B1%9F%E5%B8%82/%E6%AD%A6%E5%AE%81%E5%8E%BF/report/jiu-jiang-shi-wu-ning-xian-2025-nian-guo-min-jing-ji-he-she-hui-fa-zhan-tong-ji-gong-bao-2</x:v>
      </x:c>
      <x:c r="V26" t="str">
        <x:v>职工及机关事业养老参保为在职人数（不含离退休人员），居民养老参保为制度参保。</x:v>
      </x:c>
    </x:row>
    <x:row r="27" ht="21" customHeight="1">
      <x:c r="A27" t="str">
        <x:f>'县级总表2025'!A27</x:f>
        <x:v>九江市</x:v>
      </x:c>
      <x:c r="B27" t="str">
        <x:f>'县级总表2025'!B27</x:f>
        <x:v>修水县</x:v>
      </x:c>
      <x:c r="C27" t="str">
        <x:f>'县级总表2025'!C27</x:f>
        <x:v>县</x:v>
      </x:c>
      <x:c r="D27" s="14" t="str">
        <x:f>IF(ISNUMBER('县级总表2025'!R27),'县级总表2025'!R27,"")</x:f>
      </x:c>
      <x:c r="E27" s="14" t="str">
        <x:f>IF(ISNUMBER('县级总表2025'!S27),'县级总表2025'!S27,"")</x:f>
      </x:c>
      <x:c r="F27" s="14" t="str">
        <x:f>IF(ISNUMBER('县级总表2025'!T27),'县级总表2025'!T27,"")</x:f>
      </x:c>
      <x:c r="G27" s="14" t="str">
        <x:f>IF(ISNUMBER('县级总表2025'!U27),'县级总表2025'!U27,"")</x:f>
      </x:c>
      <x:c r="H27" s="14" t="str">
        <x:f>IF(ISNUMBER('县级总表2025'!V27),'县级总表2025'!V27,"")</x:f>
      </x:c>
      <x:c r="I27" s="14" t="str">
        <x:f>IF(ISNUMBER('县级总表2025'!W27),'县级总表2025'!W27,"")</x:f>
      </x:c>
      <x:c r="J27" s="14" t="str">
        <x:f>IF(COUNT(G27:I27)=3,SUM(G27:I27),"")</x:f>
      </x:c>
      <x:c r="K27" s="22" t="str">
        <x:f>IF(AND(ISNUMBER(J27),J27&gt;0),H27/J27,"")</x:f>
      </x:c>
      <x:c r="L27" s="23" t="str">
        <x:f>IF(COUNT(D27:F27)=3,SUM(D27:F27),"")</x:f>
      </x:c>
      <x:c r="M27" s="22" t="str">
        <x:f>IF(AND(ISNUMBER(L27),L27&gt;0),E27/L27,"")</x:f>
      </x:c>
      <x:c r="N27" s="26" t="str">
        <x:f>IF(AND(ISNUMBER(D27),D27&gt;0,ISNUMBER(G27)),G27*10000/(D27*12),"")</x:f>
      </x:c>
      <x:c r="O27" s="26" t="str">
        <x:f>IF(AND(ISNUMBER(E27),E27&gt;0,ISNUMBER(H27)),H27*10000/(E27*12),"")</x:f>
      </x:c>
      <x:c r="P27" s="26" t="str">
        <x:f>IF(AND(ISNUMBER(F27),F27&gt;0,ISNUMBER(I27)),I27*10000/(F27*12),"")</x:f>
      </x:c>
      <x:c r="Q27" s="27" t="str">
        <x:f>IF(AND(ISNUMBER(N27),N27&gt;0,ISNUMBER(O27)),O27/N27,"")</x:f>
      </x:c>
      <x:c r="R27" s="27" t="str">
        <x:f>IF(AND(ISNUMBER(P27),P27&gt;0,ISNUMBER(O27)),O27/P27,"")</x:f>
      </x:c>
      <x:c r="S27" t="str">
        <x:f>IF(COUNT(G27:I27)=3,"完整","缺项")</x:f>
        <x:v>缺项</x:v>
      </x:c>
      <x:c r="T27" t="str">
        <x:f>IF(COUNT(D27:F27)=3,"完整","缺项")</x:f>
        <x:v>缺项</x:v>
      </x:c>
      <x:c r="U27" t="str"/>
      <x:c r="V27" t="str">
        <x:v>未查到三类完整退休待遇；不可将参保人数替代退休人数。</x:v>
      </x:c>
    </x:row>
    <x:row r="28" ht="21" customHeight="1">
      <x:c r="A28" t="str">
        <x:f>'县级总表2025'!A28</x:f>
        <x:v>九江市</x:v>
      </x:c>
      <x:c r="B28" t="str">
        <x:f>'县级总表2025'!B28</x:f>
        <x:v>永修县</x:v>
      </x:c>
      <x:c r="C28" t="str">
        <x:f>'县级总表2025'!C28</x:f>
        <x:v>县</x:v>
      </x:c>
      <x:c r="D28" s="14" t="str">
        <x:f>IF(ISNUMBER('县级总表2025'!R28),'县级总表2025'!R28,"")</x:f>
      </x:c>
      <x:c r="E28" s="14" t="str">
        <x:f>IF(ISNUMBER('县级总表2025'!S28),'县级总表2025'!S28,"")</x:f>
      </x:c>
      <x:c r="F28" s="14" t="str">
        <x:f>IF(ISNUMBER('县级总表2025'!T28),'县级总表2025'!T28,"")</x:f>
      </x:c>
      <x:c r="G28" s="14" t="str">
        <x:f>IF(ISNUMBER('县级总表2025'!U28),'县级总表2025'!U28,"")</x:f>
      </x:c>
      <x:c r="H28" s="14" t="str">
        <x:f>IF(ISNUMBER('县级总表2025'!V28),'县级总表2025'!V28,"")</x:f>
      </x:c>
      <x:c r="I28" s="14" t="str">
        <x:f>IF(ISNUMBER('县级总表2025'!W28),'县级总表2025'!W28,"")</x:f>
      </x:c>
      <x:c r="J28" s="14" t="str">
        <x:f>IF(COUNT(G28:I28)=3,SUM(G28:I28),"")</x:f>
      </x:c>
      <x:c r="K28" s="22" t="str">
        <x:f>IF(AND(ISNUMBER(J28),J28&gt;0),H28/J28,"")</x:f>
      </x:c>
      <x:c r="L28" s="23" t="str">
        <x:f>IF(COUNT(D28:F28)=3,SUM(D28:F28),"")</x:f>
      </x:c>
      <x:c r="M28" s="22" t="str">
        <x:f>IF(AND(ISNUMBER(L28),L28&gt;0),E28/L28,"")</x:f>
      </x:c>
      <x:c r="N28" s="26" t="str">
        <x:f>IF(AND(ISNUMBER(D28),D28&gt;0,ISNUMBER(G28)),G28*10000/(D28*12),"")</x:f>
      </x:c>
      <x:c r="O28" s="26" t="str">
        <x:f>IF(AND(ISNUMBER(E28),E28&gt;0,ISNUMBER(H28)),H28*10000/(E28*12),"")</x:f>
      </x:c>
      <x:c r="P28" s="26" t="str">
        <x:f>IF(AND(ISNUMBER(F28),F28&gt;0,ISNUMBER(I28)),I28*10000/(F28*12),"")</x:f>
      </x:c>
      <x:c r="Q28" s="27" t="str">
        <x:f>IF(AND(ISNUMBER(N28),N28&gt;0,ISNUMBER(O28)),O28/N28,"")</x:f>
      </x:c>
      <x:c r="R28" s="27" t="str">
        <x:f>IF(AND(ISNUMBER(P28),P28&gt;0,ISNUMBER(O28)),O28/P28,"")</x:f>
      </x:c>
      <x:c r="S28" t="str">
        <x:f>IF(COUNT(G28:I28)=3,"完整","缺项")</x:f>
        <x:v>缺项</x:v>
      </x:c>
      <x:c r="T28" t="str">
        <x:f>IF(COUNT(D28:F28)=3,"完整","缺项")</x:f>
        <x:v>缺项</x:v>
      </x:c>
      <x:c r="U28" t="str"/>
      <x:c r="V28" t="str">
        <x:v>未查到三类完整退休待遇；不可将参保人数替代退休人数。</x:v>
      </x:c>
    </x:row>
    <x:row r="29" ht="21" customHeight="1">
      <x:c r="A29" t="str">
        <x:f>'县级总表2025'!A29</x:f>
        <x:v>九江市</x:v>
      </x:c>
      <x:c r="B29" t="str">
        <x:f>'县级总表2025'!B29</x:f>
        <x:v>德安县</x:v>
      </x:c>
      <x:c r="C29" t="str">
        <x:f>'县级总表2025'!C29</x:f>
        <x:v>县</x:v>
      </x:c>
      <x:c r="D29" s="14" t="str">
        <x:f>IF(ISNUMBER('县级总表2025'!R29),'县级总表2025'!R29,"")</x:f>
      </x:c>
      <x:c r="E29" s="14" t="str">
        <x:f>IF(ISNUMBER('县级总表2025'!S29),'县级总表2025'!S29,"")</x:f>
      </x:c>
      <x:c r="F29" s="14" t="str">
        <x:f>IF(ISNUMBER('县级总表2025'!T29),'县级总表2025'!T29,"")</x:f>
      </x:c>
      <x:c r="G29" s="14" t="str">
        <x:f>IF(ISNUMBER('县级总表2025'!U29),'县级总表2025'!U29,"")</x:f>
      </x:c>
      <x:c r="H29" s="14" t="str">
        <x:f>IF(ISNUMBER('县级总表2025'!V29),'县级总表2025'!V29,"")</x:f>
      </x:c>
      <x:c r="I29" s="14" t="str">
        <x:f>IF(ISNUMBER('县级总表2025'!W29),'县级总表2025'!W29,"")</x:f>
      </x:c>
      <x:c r="J29" s="14" t="str">
        <x:f>IF(COUNT(G29:I29)=3,SUM(G29:I29),"")</x:f>
      </x:c>
      <x:c r="K29" s="22" t="str">
        <x:f>IF(AND(ISNUMBER(J29),J29&gt;0),H29/J29,"")</x:f>
      </x:c>
      <x:c r="L29" s="23" t="str">
        <x:f>IF(COUNT(D29:F29)=3,SUM(D29:F29),"")</x:f>
      </x:c>
      <x:c r="M29" s="22" t="str">
        <x:f>IF(AND(ISNUMBER(L29),L29&gt;0),E29/L29,"")</x:f>
      </x:c>
      <x:c r="N29" s="26" t="str">
        <x:f>IF(AND(ISNUMBER(D29),D29&gt;0,ISNUMBER(G29)),G29*10000/(D29*12),"")</x:f>
      </x:c>
      <x:c r="O29" s="26" t="str">
        <x:f>IF(AND(ISNUMBER(E29),E29&gt;0,ISNUMBER(H29)),H29*10000/(E29*12),"")</x:f>
      </x:c>
      <x:c r="P29" s="26" t="str">
        <x:f>IF(AND(ISNUMBER(F29),F29&gt;0,ISNUMBER(I29)),I29*10000/(F29*12),"")</x:f>
      </x:c>
      <x:c r="Q29" s="27" t="str">
        <x:f>IF(AND(ISNUMBER(N29),N29&gt;0,ISNUMBER(O29)),O29/N29,"")</x:f>
      </x:c>
      <x:c r="R29" s="27" t="str">
        <x:f>IF(AND(ISNUMBER(P29),P29&gt;0,ISNUMBER(O29)),O29/P29,"")</x:f>
      </x:c>
      <x:c r="S29" t="str">
        <x:f>IF(COUNT(G29:I29)=3,"完整","缺项")</x:f>
        <x:v>缺项</x:v>
      </x:c>
      <x:c r="T29" t="str">
        <x:f>IF(COUNT(D29:F29)=3,"完整","缺项")</x:f>
        <x:v>缺项</x:v>
      </x:c>
      <x:c r="U29" t="str"/>
      <x:c r="V29" t="str">
        <x:v>未查到三类完整退休待遇；不可将参保人数替代退休人数。</x:v>
      </x:c>
    </x:row>
    <x:row r="30" ht="21" customHeight="1">
      <x:c r="A30" t="str">
        <x:f>'县级总表2025'!A30</x:f>
        <x:v>九江市</x:v>
      </x:c>
      <x:c r="B30" t="str">
        <x:f>'县级总表2025'!B30</x:f>
        <x:v>都昌县</x:v>
      </x:c>
      <x:c r="C30" t="str">
        <x:f>'县级总表2025'!C30</x:f>
        <x:v>县</x:v>
      </x:c>
      <x:c r="D30" s="14" t="str">
        <x:f>IF(ISNUMBER('县级总表2025'!R30),'县级总表2025'!R30,"")</x:f>
      </x:c>
      <x:c r="E30" s="14" t="str">
        <x:f>IF(ISNUMBER('县级总表2025'!S30),'县级总表2025'!S30,"")</x:f>
      </x:c>
      <x:c r="F30" s="14" t="str">
        <x:f>IF(ISNUMBER('县级总表2025'!T30),'县级总表2025'!T30,"")</x:f>
      </x:c>
      <x:c r="G30" s="14" t="str">
        <x:f>IF(ISNUMBER('县级总表2025'!U30),'县级总表2025'!U30,"")</x:f>
      </x:c>
      <x:c r="H30" s="14" t="str">
        <x:f>IF(ISNUMBER('县级总表2025'!V30),'县级总表2025'!V30,"")</x:f>
      </x:c>
      <x:c r="I30" s="14" t="str">
        <x:f>IF(ISNUMBER('县级总表2025'!W30),'县级总表2025'!W30,"")</x:f>
      </x:c>
      <x:c r="J30" s="14" t="str">
        <x:f>IF(COUNT(G30:I30)=3,SUM(G30:I30),"")</x:f>
      </x:c>
      <x:c r="K30" s="22" t="str">
        <x:f>IF(AND(ISNUMBER(J30),J30&gt;0),H30/J30,"")</x:f>
      </x:c>
      <x:c r="L30" s="23" t="str">
        <x:f>IF(COUNT(D30:F30)=3,SUM(D30:F30),"")</x:f>
      </x:c>
      <x:c r="M30" s="22" t="str">
        <x:f>IF(AND(ISNUMBER(L30),L30&gt;0),E30/L30,"")</x:f>
      </x:c>
      <x:c r="N30" s="26" t="str">
        <x:f>IF(AND(ISNUMBER(D30),D30&gt;0,ISNUMBER(G30)),G30*10000/(D30*12),"")</x:f>
      </x:c>
      <x:c r="O30" s="26" t="str">
        <x:f>IF(AND(ISNUMBER(E30),E30&gt;0,ISNUMBER(H30)),H30*10000/(E30*12),"")</x:f>
      </x:c>
      <x:c r="P30" s="26" t="str">
        <x:f>IF(AND(ISNUMBER(F30),F30&gt;0,ISNUMBER(I30)),I30*10000/(F30*12),"")</x:f>
      </x:c>
      <x:c r="Q30" s="27" t="str">
        <x:f>IF(AND(ISNUMBER(N30),N30&gt;0,ISNUMBER(O30)),O30/N30,"")</x:f>
      </x:c>
      <x:c r="R30" s="27" t="str">
        <x:f>IF(AND(ISNUMBER(P30),P30&gt;0,ISNUMBER(O30)),O30/P30,"")</x:f>
      </x:c>
      <x:c r="S30" t="str">
        <x:f>IF(COUNT(G30:I30)=3,"完整","缺项")</x:f>
        <x:v>缺项</x:v>
      </x:c>
      <x:c r="T30" t="str">
        <x:f>IF(COUNT(D30:F30)=3,"完整","缺项")</x:f>
        <x:v>缺项</x:v>
      </x:c>
      <x:c r="U30" t="str">
        <x:v>https://tjgb.hongheiku.com/xjtjgb/xj2020/78303.html</x:v>
      </x:c>
      <x:c r="V30" t="str"/>
    </x:row>
    <x:row r="31" ht="21" customHeight="1">
      <x:c r="A31" t="str">
        <x:f>'县级总表2025'!A31</x:f>
        <x:v>九江市</x:v>
      </x:c>
      <x:c r="B31" t="str">
        <x:f>'县级总表2025'!B31</x:f>
        <x:v>湖口县</x:v>
      </x:c>
      <x:c r="C31" t="str">
        <x:f>'县级总表2025'!C31</x:f>
        <x:v>县</x:v>
      </x:c>
      <x:c r="D31" s="14" t="str">
        <x:f>IF(ISNUMBER('县级总表2025'!R31),'县级总表2025'!R31,"")</x:f>
      </x:c>
      <x:c r="E31" s="14" t="str">
        <x:f>IF(ISNUMBER('县级总表2025'!S31),'县级总表2025'!S31,"")</x:f>
      </x:c>
      <x:c r="F31" s="14" t="str">
        <x:f>IF(ISNUMBER('县级总表2025'!T31),'县级总表2025'!T31,"")</x:f>
      </x:c>
      <x:c r="G31" s="14" t="str">
        <x:f>IF(ISNUMBER('县级总表2025'!U31),'县级总表2025'!U31,"")</x:f>
      </x:c>
      <x:c r="H31" s="14" t="str">
        <x:f>IF(ISNUMBER('县级总表2025'!V31),'县级总表2025'!V31,"")</x:f>
      </x:c>
      <x:c r="I31" s="14" t="str">
        <x:f>IF(ISNUMBER('县级总表2025'!W31),'县级总表2025'!W31,"")</x:f>
      </x:c>
      <x:c r="J31" s="14" t="str">
        <x:f>IF(COUNT(G31:I31)=3,SUM(G31:I31),"")</x:f>
      </x:c>
      <x:c r="K31" s="22" t="str">
        <x:f>IF(AND(ISNUMBER(J31),J31&gt;0),H31/J31,"")</x:f>
      </x:c>
      <x:c r="L31" s="23" t="str">
        <x:f>IF(COUNT(D31:F31)=3,SUM(D31:F31),"")</x:f>
      </x:c>
      <x:c r="M31" s="22" t="str">
        <x:f>IF(AND(ISNUMBER(L31),L31&gt;0),E31/L31,"")</x:f>
      </x:c>
      <x:c r="N31" s="26" t="str">
        <x:f>IF(AND(ISNUMBER(D31),D31&gt;0,ISNUMBER(G31)),G31*10000/(D31*12),"")</x:f>
      </x:c>
      <x:c r="O31" s="26" t="str">
        <x:f>IF(AND(ISNUMBER(E31),E31&gt;0,ISNUMBER(H31)),H31*10000/(E31*12),"")</x:f>
      </x:c>
      <x:c r="P31" s="26" t="str">
        <x:f>IF(AND(ISNUMBER(F31),F31&gt;0,ISNUMBER(I31)),I31*10000/(F31*12),"")</x:f>
      </x:c>
      <x:c r="Q31" s="27" t="str">
        <x:f>IF(AND(ISNUMBER(N31),N31&gt;0,ISNUMBER(O31)),O31/N31,"")</x:f>
      </x:c>
      <x:c r="R31" s="27" t="str">
        <x:f>IF(AND(ISNUMBER(P31),P31&gt;0,ISNUMBER(O31)),O31/P31,"")</x:f>
      </x:c>
      <x:c r="S31" t="str">
        <x:f>IF(COUNT(G31:I31)=3,"完整","缺项")</x:f>
        <x:v>缺项</x:v>
      </x:c>
      <x:c r="T31" t="str">
        <x:f>IF(COUNT(D31:F31)=3,"完整","缺项")</x:f>
        <x:v>缺项</x:v>
      </x:c>
      <x:c r="U31" t="str"/>
      <x:c r="V31" t="str">
        <x:v>未查到三类完整退休待遇；不可将参保人数替代退休人数。</x:v>
      </x:c>
    </x:row>
    <x:row r="32" ht="21" customHeight="1">
      <x:c r="A32" t="str">
        <x:f>'县级总表2025'!A32</x:f>
        <x:v>九江市</x:v>
      </x:c>
      <x:c r="B32" t="str">
        <x:f>'县级总表2025'!B32</x:f>
        <x:v>彭泽县</x:v>
      </x:c>
      <x:c r="C32" t="str">
        <x:f>'县级总表2025'!C32</x:f>
        <x:v>县</x:v>
      </x:c>
      <x:c r="D32" s="14" t="str">
        <x:f>IF(ISNUMBER('县级总表2025'!R32),'县级总表2025'!R32,"")</x:f>
      </x:c>
      <x:c r="E32" s="14" t="str">
        <x:f>IF(ISNUMBER('县级总表2025'!S32),'县级总表2025'!S32,"")</x:f>
      </x:c>
      <x:c r="F32" s="14" t="str">
        <x:f>IF(ISNUMBER('县级总表2025'!T32),'县级总表2025'!T32,"")</x:f>
      </x:c>
      <x:c r="G32" s="14" t="str">
        <x:f>IF(ISNUMBER('县级总表2025'!U32),'县级总表2025'!U32,"")</x:f>
      </x:c>
      <x:c r="H32" s="14" t="str">
        <x:f>IF(ISNUMBER('县级总表2025'!V32),'县级总表2025'!V32,"")</x:f>
      </x:c>
      <x:c r="I32" s="14" t="str">
        <x:f>IF(ISNUMBER('县级总表2025'!W32),'县级总表2025'!W32,"")</x:f>
      </x:c>
      <x:c r="J32" s="14" t="str">
        <x:f>IF(COUNT(G32:I32)=3,SUM(G32:I32),"")</x:f>
      </x:c>
      <x:c r="K32" s="22" t="str">
        <x:f>IF(AND(ISNUMBER(J32),J32&gt;0),H32/J32,"")</x:f>
      </x:c>
      <x:c r="L32" s="23" t="str">
        <x:f>IF(COUNT(D32:F32)=3,SUM(D32:F32),"")</x:f>
      </x:c>
      <x:c r="M32" s="22" t="str">
        <x:f>IF(AND(ISNUMBER(L32),L32&gt;0),E32/L32,"")</x:f>
      </x:c>
      <x:c r="N32" s="26" t="str">
        <x:f>IF(AND(ISNUMBER(D32),D32&gt;0,ISNUMBER(G32)),G32*10000/(D32*12),"")</x:f>
      </x:c>
      <x:c r="O32" s="26" t="str">
        <x:f>IF(AND(ISNUMBER(E32),E32&gt;0,ISNUMBER(H32)),H32*10000/(E32*12),"")</x:f>
      </x:c>
      <x:c r="P32" s="26" t="str">
        <x:f>IF(AND(ISNUMBER(F32),F32&gt;0,ISNUMBER(I32)),I32*10000/(F32*12),"")</x:f>
      </x:c>
      <x:c r="Q32" s="27" t="str">
        <x:f>IF(AND(ISNUMBER(N32),N32&gt;0,ISNUMBER(O32)),O32/N32,"")</x:f>
      </x:c>
      <x:c r="R32" s="27" t="str">
        <x:f>IF(AND(ISNUMBER(P32),P32&gt;0,ISNUMBER(O32)),O32/P32,"")</x:f>
      </x:c>
      <x:c r="S32" t="str">
        <x:f>IF(COUNT(G32:I32)=3,"完整","缺项")</x:f>
        <x:v>缺项</x:v>
      </x:c>
      <x:c r="T32" t="str">
        <x:f>IF(COUNT(D32:F32)=3,"完整","缺项")</x:f>
        <x:v>缺项</x:v>
      </x:c>
      <x:c r="U32" t="str"/>
      <x:c r="V32" t="str">
        <x:v>未查到三类完整退休待遇；不可将参保人数替代退休人数。</x:v>
      </x:c>
    </x:row>
    <x:row r="33" ht="21" customHeight="1">
      <x:c r="A33" t="str">
        <x:f>'县级总表2025'!A33</x:f>
        <x:v>新余市</x:v>
      </x:c>
      <x:c r="B33" t="str">
        <x:f>'县级总表2025'!B33</x:f>
        <x:v>渝水区</x:v>
      </x:c>
      <x:c r="C33" t="str">
        <x:f>'县级总表2025'!C33</x:f>
        <x:v>区</x:v>
      </x:c>
      <x:c r="D33" s="14" t="str">
        <x:f>IF(ISNUMBER('县级总表2025'!R33),'县级总表2025'!R33,"")</x:f>
      </x:c>
      <x:c r="E33" s="14" t="str">
        <x:f>IF(ISNUMBER('县级总表2025'!S33),'县级总表2025'!S33,"")</x:f>
      </x:c>
      <x:c r="F33" s="14" t="str">
        <x:f>IF(ISNUMBER('县级总表2025'!T33),'县级总表2025'!T33,"")</x:f>
      </x:c>
      <x:c r="G33" s="14" t="str">
        <x:f>IF(ISNUMBER('县级总表2025'!U33),'县级总表2025'!U33,"")</x:f>
      </x:c>
      <x:c r="H33" s="14" t="str">
        <x:f>IF(ISNUMBER('县级总表2025'!V33),'县级总表2025'!V33,"")</x:f>
      </x:c>
      <x:c r="I33" s="14" t="str">
        <x:f>IF(ISNUMBER('县级总表2025'!W33),'县级总表2025'!W33,"")</x:f>
      </x:c>
      <x:c r="J33" s="14" t="str">
        <x:f>IF(COUNT(G33:I33)=3,SUM(G33:I33),"")</x:f>
      </x:c>
      <x:c r="K33" s="22" t="str">
        <x:f>IF(AND(ISNUMBER(J33),J33&gt;0),H33/J33,"")</x:f>
      </x:c>
      <x:c r="L33" s="23" t="str">
        <x:f>IF(COUNT(D33:F33)=3,SUM(D33:F33),"")</x:f>
      </x:c>
      <x:c r="M33" s="22" t="str">
        <x:f>IF(AND(ISNUMBER(L33),L33&gt;0),E33/L33,"")</x:f>
      </x:c>
      <x:c r="N33" s="26" t="str">
        <x:f>IF(AND(ISNUMBER(D33),D33&gt;0,ISNUMBER(G33)),G33*10000/(D33*12),"")</x:f>
      </x:c>
      <x:c r="O33" s="26" t="str">
        <x:f>IF(AND(ISNUMBER(E33),E33&gt;0,ISNUMBER(H33)),H33*10000/(E33*12),"")</x:f>
      </x:c>
      <x:c r="P33" s="26" t="str">
        <x:f>IF(AND(ISNUMBER(F33),F33&gt;0,ISNUMBER(I33)),I33*10000/(F33*12),"")</x:f>
      </x:c>
      <x:c r="Q33" s="27" t="str">
        <x:f>IF(AND(ISNUMBER(N33),N33&gt;0,ISNUMBER(O33)),O33/N33,"")</x:f>
      </x:c>
      <x:c r="R33" s="27" t="str">
        <x:f>IF(AND(ISNUMBER(P33),P33&gt;0,ISNUMBER(O33)),O33/P33,"")</x:f>
      </x:c>
      <x:c r="S33" t="str">
        <x:f>IF(COUNT(G33:I33)=3,"完整","缺项")</x:f>
        <x:v>缺项</x:v>
      </x:c>
      <x:c r="T33" t="str">
        <x:f>IF(COUNT(D33:F33)=3,"完整","缺项")</x:f>
        <x:v>缺项</x:v>
      </x:c>
      <x:c r="U33" t="str"/>
      <x:c r="V33" t="str">
        <x:v>未查到三类完整退休待遇；不可将参保人数替代退休人数。</x:v>
      </x:c>
    </x:row>
    <x:row r="34" ht="21" customHeight="1">
      <x:c r="A34" t="str">
        <x:f>'县级总表2025'!A34</x:f>
        <x:v>新余市</x:v>
      </x:c>
      <x:c r="B34" t="str">
        <x:f>'县级总表2025'!B34</x:f>
        <x:v>分宜县</x:v>
      </x:c>
      <x:c r="C34" t="str">
        <x:f>'县级总表2025'!C34</x:f>
        <x:v>县</x:v>
      </x:c>
      <x:c r="D34" s="14" t="str">
        <x:f>IF(ISNUMBER('县级总表2025'!R34),'县级总表2025'!R34,"")</x:f>
      </x:c>
      <x:c r="E34" s="14" t="str">
        <x:f>IF(ISNUMBER('县级总表2025'!S34),'县级总表2025'!S34,"")</x:f>
      </x:c>
      <x:c r="F34" s="14" t="str">
        <x:f>IF(ISNUMBER('县级总表2025'!T34),'县级总表2025'!T34,"")</x:f>
      </x:c>
      <x:c r="G34" s="14" t="str">
        <x:f>IF(ISNUMBER('县级总表2025'!U34),'县级总表2025'!U34,"")</x:f>
      </x:c>
      <x:c r="H34" s="14" t="str">
        <x:f>IF(ISNUMBER('县级总表2025'!V34),'县级总表2025'!V34,"")</x:f>
      </x:c>
      <x:c r="I34" s="14" t="str">
        <x:f>IF(ISNUMBER('县级总表2025'!W34),'县级总表2025'!W34,"")</x:f>
      </x:c>
      <x:c r="J34" s="14" t="str">
        <x:f>IF(COUNT(G34:I34)=3,SUM(G34:I34),"")</x:f>
      </x:c>
      <x:c r="K34" s="22" t="str">
        <x:f>IF(AND(ISNUMBER(J34),J34&gt;0),H34/J34,"")</x:f>
      </x:c>
      <x:c r="L34" s="23" t="str">
        <x:f>IF(COUNT(D34:F34)=3,SUM(D34:F34),"")</x:f>
      </x:c>
      <x:c r="M34" s="22" t="str">
        <x:f>IF(AND(ISNUMBER(L34),L34&gt;0),E34/L34,"")</x:f>
      </x:c>
      <x:c r="N34" s="26" t="str">
        <x:f>IF(AND(ISNUMBER(D34),D34&gt;0,ISNUMBER(G34)),G34*10000/(D34*12),"")</x:f>
      </x:c>
      <x:c r="O34" s="26" t="str">
        <x:f>IF(AND(ISNUMBER(E34),E34&gt;0,ISNUMBER(H34)),H34*10000/(E34*12),"")</x:f>
      </x:c>
      <x:c r="P34" s="26" t="str">
        <x:f>IF(AND(ISNUMBER(F34),F34&gt;0,ISNUMBER(I34)),I34*10000/(F34*12),"")</x:f>
      </x:c>
      <x:c r="Q34" s="27" t="str">
        <x:f>IF(AND(ISNUMBER(N34),N34&gt;0,ISNUMBER(O34)),O34/N34,"")</x:f>
      </x:c>
      <x:c r="R34" s="27" t="str">
        <x:f>IF(AND(ISNUMBER(P34),P34&gt;0,ISNUMBER(O34)),O34/P34,"")</x:f>
      </x:c>
      <x:c r="S34" t="str">
        <x:f>IF(COUNT(G34:I34)=3,"完整","缺项")</x:f>
        <x:v>缺项</x:v>
      </x:c>
      <x:c r="T34" t="str">
        <x:f>IF(COUNT(D34:F34)=3,"完整","缺项")</x:f>
        <x:v>缺项</x:v>
      </x:c>
      <x:c r="U34" t="str">
        <x:v>https://tjgb.hongheiku.com/xjtjgb/xj2020/72716.html</x:v>
      </x:c>
      <x:c r="V34" t="str">
        <x:v>全县基本养老参保约23.59万人；城乡居民参保16.71万人。</x:v>
      </x:c>
    </x:row>
    <x:row r="35" ht="21" customHeight="1">
      <x:c r="A35" t="str">
        <x:f>'县级总表2025'!A35</x:f>
        <x:v>鹰潭市</x:v>
      </x:c>
      <x:c r="B35" t="str">
        <x:f>'县级总表2025'!B35</x:f>
        <x:v>月湖区</x:v>
      </x:c>
      <x:c r="C35" t="str">
        <x:f>'县级总表2025'!C35</x:f>
        <x:v>区</x:v>
      </x:c>
      <x:c r="D35" s="14" t="str">
        <x:f>IF(ISNUMBER('县级总表2025'!R35),'县级总表2025'!R35,"")</x:f>
      </x:c>
      <x:c r="E35" s="14" t="str">
        <x:f>IF(ISNUMBER('县级总表2025'!S35),'县级总表2025'!S35,"")</x:f>
      </x:c>
      <x:c r="F35" s="14" t="str">
        <x:f>IF(ISNUMBER('县级总表2025'!T35),'县级总表2025'!T35,"")</x:f>
      </x:c>
      <x:c r="G35" s="14" t="str">
        <x:f>IF(ISNUMBER('县级总表2025'!U35),'县级总表2025'!U35,"")</x:f>
      </x:c>
      <x:c r="H35" s="14" t="str">
        <x:f>IF(ISNUMBER('县级总表2025'!V35),'县级总表2025'!V35,"")</x:f>
      </x:c>
      <x:c r="I35" s="14" t="str">
        <x:f>IF(ISNUMBER('县级总表2025'!W35),'县级总表2025'!W35,"")</x:f>
      </x:c>
      <x:c r="J35" s="14" t="str">
        <x:f>IF(COUNT(G35:I35)=3,SUM(G35:I35),"")</x:f>
      </x:c>
      <x:c r="K35" s="22" t="str">
        <x:f>IF(AND(ISNUMBER(J35),J35&gt;0),H35/J35,"")</x:f>
      </x:c>
      <x:c r="L35" s="23" t="str">
        <x:f>IF(COUNT(D35:F35)=3,SUM(D35:F35),"")</x:f>
      </x:c>
      <x:c r="M35" s="22" t="str">
        <x:f>IF(AND(ISNUMBER(L35),L35&gt;0),E35/L35,"")</x:f>
      </x:c>
      <x:c r="N35" s="26" t="str">
        <x:f>IF(AND(ISNUMBER(D35),D35&gt;0,ISNUMBER(G35)),G35*10000/(D35*12),"")</x:f>
      </x:c>
      <x:c r="O35" s="26" t="str">
        <x:f>IF(AND(ISNUMBER(E35),E35&gt;0,ISNUMBER(H35)),H35*10000/(E35*12),"")</x:f>
      </x:c>
      <x:c r="P35" s="26" t="str">
        <x:f>IF(AND(ISNUMBER(F35),F35&gt;0,ISNUMBER(I35)),I35*10000/(F35*12),"")</x:f>
      </x:c>
      <x:c r="Q35" s="27" t="str">
        <x:f>IF(AND(ISNUMBER(N35),N35&gt;0,ISNUMBER(O35)),O35/N35,"")</x:f>
      </x:c>
      <x:c r="R35" s="27" t="str">
        <x:f>IF(AND(ISNUMBER(P35),P35&gt;0,ISNUMBER(O35)),O35/P35,"")</x:f>
      </x:c>
      <x:c r="S35" t="str">
        <x:f>IF(COUNT(G35:I35)=3,"完整","缺项")</x:f>
        <x:v>缺项</x:v>
      </x:c>
      <x:c r="T35" t="str">
        <x:f>IF(COUNT(D35:F35)=3,"完整","缺项")</x:f>
        <x:v>缺项</x:v>
      </x:c>
      <x:c r="U35" t="str"/>
      <x:c r="V35" t="str">
        <x:v>未查到三类完整退休待遇；不可将参保人数替代退休人数。</x:v>
      </x:c>
    </x:row>
    <x:row r="36" ht="21" customHeight="1">
      <x:c r="A36" t="str">
        <x:f>'县级总表2025'!A36</x:f>
        <x:v>鹰潭市</x:v>
      </x:c>
      <x:c r="B36" t="str">
        <x:f>'县级总表2025'!B36</x:f>
        <x:v>余江区</x:v>
      </x:c>
      <x:c r="C36" t="str">
        <x:f>'县级总表2025'!C36</x:f>
        <x:v>区</x:v>
      </x:c>
      <x:c r="D36" s="14" t="str">
        <x:f>IF(ISNUMBER('县级总表2025'!R36),'县级总表2025'!R36,"")</x:f>
      </x:c>
      <x:c r="E36" s="14" t="str">
        <x:f>IF(ISNUMBER('县级总表2025'!S36),'县级总表2025'!S36,"")</x:f>
      </x:c>
      <x:c r="F36" s="14" t="str">
        <x:f>IF(ISNUMBER('县级总表2025'!T36),'县级总表2025'!T36,"")</x:f>
      </x:c>
      <x:c r="G36" s="14" t="str">
        <x:f>IF(ISNUMBER('县级总表2025'!U36),'县级总表2025'!U36,"")</x:f>
      </x:c>
      <x:c r="H36" s="14" t="str">
        <x:f>IF(ISNUMBER('县级总表2025'!V36),'县级总表2025'!V36,"")</x:f>
      </x:c>
      <x:c r="I36" s="14" t="str">
        <x:f>IF(ISNUMBER('县级总表2025'!W36),'县级总表2025'!W36,"")</x:f>
      </x:c>
      <x:c r="J36" s="14" t="str">
        <x:f>IF(COUNT(G36:I36)=3,SUM(G36:I36),"")</x:f>
      </x:c>
      <x:c r="K36" s="22" t="str">
        <x:f>IF(AND(ISNUMBER(J36),J36&gt;0),H36/J36,"")</x:f>
      </x:c>
      <x:c r="L36" s="23" t="str">
        <x:f>IF(COUNT(D36:F36)=3,SUM(D36:F36),"")</x:f>
      </x:c>
      <x:c r="M36" s="22" t="str">
        <x:f>IF(AND(ISNUMBER(L36),L36&gt;0),E36/L36,"")</x:f>
      </x:c>
      <x:c r="N36" s="26" t="str">
        <x:f>IF(AND(ISNUMBER(D36),D36&gt;0,ISNUMBER(G36)),G36*10000/(D36*12),"")</x:f>
      </x:c>
      <x:c r="O36" s="26" t="str">
        <x:f>IF(AND(ISNUMBER(E36),E36&gt;0,ISNUMBER(H36)),H36*10000/(E36*12),"")</x:f>
      </x:c>
      <x:c r="P36" s="26" t="str">
        <x:f>IF(AND(ISNUMBER(F36),F36&gt;0,ISNUMBER(I36)),I36*10000/(F36*12),"")</x:f>
      </x:c>
      <x:c r="Q36" s="27" t="str">
        <x:f>IF(AND(ISNUMBER(N36),N36&gt;0,ISNUMBER(O36)),O36/N36,"")</x:f>
      </x:c>
      <x:c r="R36" s="27" t="str">
        <x:f>IF(AND(ISNUMBER(P36),P36&gt;0,ISNUMBER(O36)),O36/P36,"")</x:f>
      </x:c>
      <x:c r="S36" t="str">
        <x:f>IF(COUNT(G36:I36)=3,"完整","缺项")</x:f>
        <x:v>缺项</x:v>
      </x:c>
      <x:c r="T36" t="str">
        <x:f>IF(COUNT(D36:F36)=3,"完整","缺项")</x:f>
        <x:v>缺项</x:v>
      </x:c>
      <x:c r="U36" t="str"/>
      <x:c r="V36" t="str">
        <x:v>未查到三类完整退休待遇；不可将参保人数替代退休人数。</x:v>
      </x:c>
    </x:row>
    <x:row r="37" ht="21" customHeight="1">
      <x:c r="A37" t="str">
        <x:f>'县级总表2025'!A37</x:f>
        <x:v>鹰潭市</x:v>
      </x:c>
      <x:c r="B37" t="str">
        <x:f>'县级总表2025'!B37</x:f>
        <x:v>贵溪市</x:v>
      </x:c>
      <x:c r="C37" t="str">
        <x:f>'县级总表2025'!C37</x:f>
        <x:v>县级市</x:v>
      </x:c>
      <x:c r="D37" s="14" t="str">
        <x:f>IF(ISNUMBER('县级总表2025'!R37),'县级总表2025'!R37,"")</x:f>
      </x:c>
      <x:c r="E37" s="14" t="str">
        <x:f>IF(ISNUMBER('县级总表2025'!S37),'县级总表2025'!S37,"")</x:f>
      </x:c>
      <x:c r="F37" s="14" t="str">
        <x:f>IF(ISNUMBER('县级总表2025'!T37),'县级总表2025'!T37,"")</x:f>
      </x:c>
      <x:c r="G37" s="14" t="str">
        <x:f>IF(ISNUMBER('县级总表2025'!U37),'县级总表2025'!U37,"")</x:f>
      </x:c>
      <x:c r="H37" s="14" t="str">
        <x:f>IF(ISNUMBER('县级总表2025'!V37),'县级总表2025'!V37,"")</x:f>
      </x:c>
      <x:c r="I37" s="14" t="str">
        <x:f>IF(ISNUMBER('县级总表2025'!W37),'县级总表2025'!W37,"")</x:f>
      </x:c>
      <x:c r="J37" s="14" t="str">
        <x:f>IF(COUNT(G37:I37)=3,SUM(G37:I37),"")</x:f>
      </x:c>
      <x:c r="K37" s="22" t="str">
        <x:f>IF(AND(ISNUMBER(J37),J37&gt;0),H37/J37,"")</x:f>
      </x:c>
      <x:c r="L37" s="23" t="str">
        <x:f>IF(COUNT(D37:F37)=3,SUM(D37:F37),"")</x:f>
      </x:c>
      <x:c r="M37" s="22" t="str">
        <x:f>IF(AND(ISNUMBER(L37),L37&gt;0),E37/L37,"")</x:f>
      </x:c>
      <x:c r="N37" s="26" t="str">
        <x:f>IF(AND(ISNUMBER(D37),D37&gt;0,ISNUMBER(G37)),G37*10000/(D37*12),"")</x:f>
      </x:c>
      <x:c r="O37" s="26" t="str">
        <x:f>IF(AND(ISNUMBER(E37),E37&gt;0,ISNUMBER(H37)),H37*10000/(E37*12),"")</x:f>
      </x:c>
      <x:c r="P37" s="26" t="str">
        <x:f>IF(AND(ISNUMBER(F37),F37&gt;0,ISNUMBER(I37)),I37*10000/(F37*12),"")</x:f>
      </x:c>
      <x:c r="Q37" s="27" t="str">
        <x:f>IF(AND(ISNUMBER(N37),N37&gt;0,ISNUMBER(O37)),O37/N37,"")</x:f>
      </x:c>
      <x:c r="R37" s="27" t="str">
        <x:f>IF(AND(ISNUMBER(P37),P37&gt;0,ISNUMBER(O37)),O37/P37,"")</x:f>
      </x:c>
      <x:c r="S37" t="str">
        <x:f>IF(COUNT(G37:I37)=3,"完整","缺项")</x:f>
        <x:v>缺项</x:v>
      </x:c>
      <x:c r="T37" t="str">
        <x:f>IF(COUNT(D37:F37)=3,"完整","缺项")</x:f>
        <x:v>缺项</x:v>
      </x:c>
      <x:c r="U37" t="str"/>
      <x:c r="V37" t="str">
        <x:v>未查到三类完整退休待遇；不可将参保人数替代退休人数。</x:v>
      </x:c>
    </x:row>
    <x:row r="38" ht="21" customHeight="1">
      <x:c r="A38" t="str">
        <x:f>'县级总表2025'!A38</x:f>
        <x:v>赣州市</x:v>
      </x:c>
      <x:c r="B38" t="str">
        <x:f>'县级总表2025'!B38</x:f>
        <x:v>章贡区</x:v>
      </x:c>
      <x:c r="C38" t="str">
        <x:f>'县级总表2025'!C38</x:f>
        <x:v>区</x:v>
      </x:c>
      <x:c r="D38" s="14" t="str">
        <x:f>IF(ISNUMBER('县级总表2025'!R38),'县级总表2025'!R38,"")</x:f>
      </x:c>
      <x:c r="E38" s="14" t="str">
        <x:f>IF(ISNUMBER('县级总表2025'!S38),'县级总表2025'!S38,"")</x:f>
      </x:c>
      <x:c r="F38" s="14" t="str">
        <x:f>IF(ISNUMBER('县级总表2025'!T38),'县级总表2025'!T38,"")</x:f>
      </x:c>
      <x:c r="G38" s="14" t="str">
        <x:f>IF(ISNUMBER('县级总表2025'!U38),'县级总表2025'!U38,"")</x:f>
      </x:c>
      <x:c r="H38" s="14" t="str">
        <x:f>IF(ISNUMBER('县级总表2025'!V38),'县级总表2025'!V38,"")</x:f>
      </x:c>
      <x:c r="I38" s="14" t="str">
        <x:f>IF(ISNUMBER('县级总表2025'!W38),'县级总表2025'!W38,"")</x:f>
      </x:c>
      <x:c r="J38" s="14" t="str">
        <x:f>IF(COUNT(G38:I38)=3,SUM(G38:I38),"")</x:f>
      </x:c>
      <x:c r="K38" s="22" t="str">
        <x:f>IF(AND(ISNUMBER(J38),J38&gt;0),H38/J38,"")</x:f>
      </x:c>
      <x:c r="L38" s="23" t="str">
        <x:f>IF(COUNT(D38:F38)=3,SUM(D38:F38),"")</x:f>
      </x:c>
      <x:c r="M38" s="22" t="str">
        <x:f>IF(AND(ISNUMBER(L38),L38&gt;0),E38/L38,"")</x:f>
      </x:c>
      <x:c r="N38" s="26" t="str">
        <x:f>IF(AND(ISNUMBER(D38),D38&gt;0,ISNUMBER(G38)),G38*10000/(D38*12),"")</x:f>
      </x:c>
      <x:c r="O38" s="26" t="str">
        <x:f>IF(AND(ISNUMBER(E38),E38&gt;0,ISNUMBER(H38)),H38*10000/(E38*12),"")</x:f>
      </x:c>
      <x:c r="P38" s="26" t="str">
        <x:f>IF(AND(ISNUMBER(F38),F38&gt;0,ISNUMBER(I38)),I38*10000/(F38*12),"")</x:f>
      </x:c>
      <x:c r="Q38" s="27" t="str">
        <x:f>IF(AND(ISNUMBER(N38),N38&gt;0,ISNUMBER(O38)),O38/N38,"")</x:f>
      </x:c>
      <x:c r="R38" s="27" t="str">
        <x:f>IF(AND(ISNUMBER(P38),P38&gt;0,ISNUMBER(O38)),O38/P38,"")</x:f>
      </x:c>
      <x:c r="S38" t="str">
        <x:f>IF(COUNT(G38:I38)=3,"完整","缺项")</x:f>
        <x:v>缺项</x:v>
      </x:c>
      <x:c r="T38" t="str">
        <x:f>IF(COUNT(D38:F38)=3,"完整","缺项")</x:f>
        <x:v>缺项</x:v>
      </x:c>
      <x:c r="U38" t="str"/>
      <x:c r="V38" t="str">
        <x:v>未查到三类完整退休待遇；不可将参保人数替代退休人数。</x:v>
      </x:c>
    </x:row>
    <x:row r="39" ht="21" customHeight="1">
      <x:c r="A39" t="str">
        <x:f>'县级总表2025'!A39</x:f>
        <x:v>赣州市</x:v>
      </x:c>
      <x:c r="B39" t="str">
        <x:f>'县级总表2025'!B39</x:f>
        <x:v>南康区</x:v>
      </x:c>
      <x:c r="C39" t="str">
        <x:f>'县级总表2025'!C39</x:f>
        <x:v>区</x:v>
      </x:c>
      <x:c r="D39" s="14" t="str">
        <x:f>IF(ISNUMBER('县级总表2025'!R39),'县级总表2025'!R39,"")</x:f>
      </x:c>
      <x:c r="E39" s="14" t="str">
        <x:f>IF(ISNUMBER('县级总表2025'!S39),'县级总表2025'!S39,"")</x:f>
      </x:c>
      <x:c r="F39" s="14" t="str">
        <x:f>IF(ISNUMBER('县级总表2025'!T39),'县级总表2025'!T39,"")</x:f>
      </x:c>
      <x:c r="G39" s="14" t="str">
        <x:f>IF(ISNUMBER('县级总表2025'!U39),'县级总表2025'!U39,"")</x:f>
      </x:c>
      <x:c r="H39" s="14" t="str">
        <x:f>IF(ISNUMBER('县级总表2025'!V39),'县级总表2025'!V39,"")</x:f>
      </x:c>
      <x:c r="I39" s="14" t="str">
        <x:f>IF(ISNUMBER('县级总表2025'!W39),'县级总表2025'!W39,"")</x:f>
      </x:c>
      <x:c r="J39" s="14" t="str">
        <x:f>IF(COUNT(G39:I39)=3,SUM(G39:I39),"")</x:f>
      </x:c>
      <x:c r="K39" s="22" t="str">
        <x:f>IF(AND(ISNUMBER(J39),J39&gt;0),H39/J39,"")</x:f>
      </x:c>
      <x:c r="L39" s="23" t="str">
        <x:f>IF(COUNT(D39:F39)=3,SUM(D39:F39),"")</x:f>
      </x:c>
      <x:c r="M39" s="22" t="str">
        <x:f>IF(AND(ISNUMBER(L39),L39&gt;0),E39/L39,"")</x:f>
      </x:c>
      <x:c r="N39" s="26" t="str">
        <x:f>IF(AND(ISNUMBER(D39),D39&gt;0,ISNUMBER(G39)),G39*10000/(D39*12),"")</x:f>
      </x:c>
      <x:c r="O39" s="26" t="str">
        <x:f>IF(AND(ISNUMBER(E39),E39&gt;0,ISNUMBER(H39)),H39*10000/(E39*12),"")</x:f>
      </x:c>
      <x:c r="P39" s="26" t="str">
        <x:f>IF(AND(ISNUMBER(F39),F39&gt;0,ISNUMBER(I39)),I39*10000/(F39*12),"")</x:f>
      </x:c>
      <x:c r="Q39" s="27" t="str">
        <x:f>IF(AND(ISNUMBER(N39),N39&gt;0,ISNUMBER(O39)),O39/N39,"")</x:f>
      </x:c>
      <x:c r="R39" s="27" t="str">
        <x:f>IF(AND(ISNUMBER(P39),P39&gt;0,ISNUMBER(O39)),O39/P39,"")</x:f>
      </x:c>
      <x:c r="S39" t="str">
        <x:f>IF(COUNT(G39:I39)=3,"完整","缺项")</x:f>
        <x:v>缺项</x:v>
      </x:c>
      <x:c r="T39" t="str">
        <x:f>IF(COUNT(D39:F39)=3,"完整","缺项")</x:f>
        <x:v>缺项</x:v>
      </x:c>
      <x:c r="U39" t="str"/>
      <x:c r="V39" t="str">
        <x:v>未查到三类完整退休待遇；不可将参保人数替代退休人数。</x:v>
      </x:c>
    </x:row>
    <x:row r="40" ht="21" customHeight="1">
      <x:c r="A40" t="str">
        <x:f>'县级总表2025'!A40</x:f>
        <x:v>赣州市</x:v>
      </x:c>
      <x:c r="B40" t="str">
        <x:f>'县级总表2025'!B40</x:f>
        <x:v>赣县区</x:v>
      </x:c>
      <x:c r="C40" t="str">
        <x:f>'县级总表2025'!C40</x:f>
        <x:v>区</x:v>
      </x:c>
      <x:c r="D40" s="14" t="str">
        <x:f>IF(ISNUMBER('县级总表2025'!R40),'县级总表2025'!R40,"")</x:f>
      </x:c>
      <x:c r="E40" s="14" t="str">
        <x:f>IF(ISNUMBER('县级总表2025'!S40),'县级总表2025'!S40,"")</x:f>
      </x:c>
      <x:c r="F40" s="14" t="str">
        <x:f>IF(ISNUMBER('县级总表2025'!T40),'县级总表2025'!T40,"")</x:f>
      </x:c>
      <x:c r="G40" s="14" t="str">
        <x:f>IF(ISNUMBER('县级总表2025'!U40),'县级总表2025'!U40,"")</x:f>
      </x:c>
      <x:c r="H40" s="14" t="str">
        <x:f>IF(ISNUMBER('县级总表2025'!V40),'县级总表2025'!V40,"")</x:f>
      </x:c>
      <x:c r="I40" s="14" t="str">
        <x:f>IF(ISNUMBER('县级总表2025'!W40),'县级总表2025'!W40,"")</x:f>
      </x:c>
      <x:c r="J40" s="14" t="str">
        <x:f>IF(COUNT(G40:I40)=3,SUM(G40:I40),"")</x:f>
      </x:c>
      <x:c r="K40" s="22" t="str">
        <x:f>IF(AND(ISNUMBER(J40),J40&gt;0),H40/J40,"")</x:f>
      </x:c>
      <x:c r="L40" s="23" t="str">
        <x:f>IF(COUNT(D40:F40)=3,SUM(D40:F40),"")</x:f>
      </x:c>
      <x:c r="M40" s="22" t="str">
        <x:f>IF(AND(ISNUMBER(L40),L40&gt;0),E40/L40,"")</x:f>
      </x:c>
      <x:c r="N40" s="26" t="str">
        <x:f>IF(AND(ISNUMBER(D40),D40&gt;0,ISNUMBER(G40)),G40*10000/(D40*12),"")</x:f>
      </x:c>
      <x:c r="O40" s="26" t="str">
        <x:f>IF(AND(ISNUMBER(E40),E40&gt;0,ISNUMBER(H40)),H40*10000/(E40*12),"")</x:f>
      </x:c>
      <x:c r="P40" s="26" t="str">
        <x:f>IF(AND(ISNUMBER(F40),F40&gt;0,ISNUMBER(I40)),I40*10000/(F40*12),"")</x:f>
      </x:c>
      <x:c r="Q40" s="27" t="str">
        <x:f>IF(AND(ISNUMBER(N40),N40&gt;0,ISNUMBER(O40)),O40/N40,"")</x:f>
      </x:c>
      <x:c r="R40" s="27" t="str">
        <x:f>IF(AND(ISNUMBER(P40),P40&gt;0,ISNUMBER(O40)),O40/P40,"")</x:f>
      </x:c>
      <x:c r="S40" t="str">
        <x:f>IF(COUNT(G40:I40)=3,"完整","缺项")</x:f>
        <x:v>缺项</x:v>
      </x:c>
      <x:c r="T40" t="str">
        <x:f>IF(COUNT(D40:F40)=3,"完整","缺项")</x:f>
        <x:v>缺项</x:v>
      </x:c>
      <x:c r="U40" t="str">
        <x:v>https://tjgb.hongheiku.com/xjtjgb/xj2020/75251.html</x:v>
      </x:c>
      <x:c r="V40" t="str"/>
    </x:row>
    <x:row r="41" ht="21" customHeight="1">
      <x:c r="A41" t="str">
        <x:f>'县级总表2025'!A41</x:f>
        <x:v>赣州市</x:v>
      </x:c>
      <x:c r="B41" t="str">
        <x:f>'县级总表2025'!B41</x:f>
        <x:v>瑞金市</x:v>
      </x:c>
      <x:c r="C41" t="str">
        <x:f>'县级总表2025'!C41</x:f>
        <x:v>县级市</x:v>
      </x:c>
      <x:c r="D41" s="14" t="str">
        <x:f>IF(ISNUMBER('县级总表2025'!R41),'县级总表2025'!R41,"")</x:f>
      </x:c>
      <x:c r="E41" s="14" t="str">
        <x:f>IF(ISNUMBER('县级总表2025'!S41),'县级总表2025'!S41,"")</x:f>
      </x:c>
      <x:c r="F41" s="14" t="str">
        <x:f>IF(ISNUMBER('县级总表2025'!T41),'县级总表2025'!T41,"")</x:f>
      </x:c>
      <x:c r="G41" s="14" t="str">
        <x:f>IF(ISNUMBER('县级总表2025'!U41),'县级总表2025'!U41,"")</x:f>
      </x:c>
      <x:c r="H41" s="14" t="str">
        <x:f>IF(ISNUMBER('县级总表2025'!V41),'县级总表2025'!V41,"")</x:f>
      </x:c>
      <x:c r="I41" s="14" t="str">
        <x:f>IF(ISNUMBER('县级总表2025'!W41),'县级总表2025'!W41,"")</x:f>
      </x:c>
      <x:c r="J41" s="14" t="str">
        <x:f>IF(COUNT(G41:I41)=3,SUM(G41:I41),"")</x:f>
      </x:c>
      <x:c r="K41" s="22" t="str">
        <x:f>IF(AND(ISNUMBER(J41),J41&gt;0),H41/J41,"")</x:f>
      </x:c>
      <x:c r="L41" s="23" t="str">
        <x:f>IF(COUNT(D41:F41)=3,SUM(D41:F41),"")</x:f>
      </x:c>
      <x:c r="M41" s="22" t="str">
        <x:f>IF(AND(ISNUMBER(L41),L41&gt;0),E41/L41,"")</x:f>
      </x:c>
      <x:c r="N41" s="26" t="str">
        <x:f>IF(AND(ISNUMBER(D41),D41&gt;0,ISNUMBER(G41)),G41*10000/(D41*12),"")</x:f>
      </x:c>
      <x:c r="O41" s="26" t="str">
        <x:f>IF(AND(ISNUMBER(E41),E41&gt;0,ISNUMBER(H41)),H41*10000/(E41*12),"")</x:f>
      </x:c>
      <x:c r="P41" s="26" t="str">
        <x:f>IF(AND(ISNUMBER(F41),F41&gt;0,ISNUMBER(I41)),I41*10000/(F41*12),"")</x:f>
      </x:c>
      <x:c r="Q41" s="27" t="str">
        <x:f>IF(AND(ISNUMBER(N41),N41&gt;0,ISNUMBER(O41)),O41/N41,"")</x:f>
      </x:c>
      <x:c r="R41" s="27" t="str">
        <x:f>IF(AND(ISNUMBER(P41),P41&gt;0,ISNUMBER(O41)),O41/P41,"")</x:f>
      </x:c>
      <x:c r="S41" t="str">
        <x:f>IF(COUNT(G41:I41)=3,"完整","缺项")</x:f>
        <x:v>缺项</x:v>
      </x:c>
      <x:c r="T41" t="str">
        <x:f>IF(COUNT(D41:F41)=3,"完整","缺项")</x:f>
        <x:v>缺项</x:v>
      </x:c>
      <x:c r="U41" t="str"/>
      <x:c r="V41" t="str">
        <x:v>未查到三类完整退休待遇；不可将参保人数替代退休人数。</x:v>
      </x:c>
    </x:row>
    <x:row r="42" ht="21" customHeight="1">
      <x:c r="A42" t="str">
        <x:f>'县级总表2025'!A42</x:f>
        <x:v>赣州市</x:v>
      </x:c>
      <x:c r="B42" t="str">
        <x:f>'县级总表2025'!B42</x:f>
        <x:v>龙南市</x:v>
      </x:c>
      <x:c r="C42" t="str">
        <x:f>'县级总表2025'!C42</x:f>
        <x:v>县级市</x:v>
      </x:c>
      <x:c r="D42" s="14" t="str">
        <x:f>IF(ISNUMBER('县级总表2025'!R42),'县级总表2025'!R42,"")</x:f>
      </x:c>
      <x:c r="E42" s="14" t="str">
        <x:f>IF(ISNUMBER('县级总表2025'!S42),'县级总表2025'!S42,"")</x:f>
      </x:c>
      <x:c r="F42" s="14" t="str">
        <x:f>IF(ISNUMBER('县级总表2025'!T42),'县级总表2025'!T42,"")</x:f>
      </x:c>
      <x:c r="G42" s="14" t="str">
        <x:f>IF(ISNUMBER('县级总表2025'!U42),'县级总表2025'!U42,"")</x:f>
      </x:c>
      <x:c r="H42" s="14" t="str">
        <x:f>IF(ISNUMBER('县级总表2025'!V42),'县级总表2025'!V42,"")</x:f>
      </x:c>
      <x:c r="I42" s="14" t="str">
        <x:f>IF(ISNUMBER('县级总表2025'!W42),'县级总表2025'!W42,"")</x:f>
      </x:c>
      <x:c r="J42" s="14" t="str">
        <x:f>IF(COUNT(G42:I42)=3,SUM(G42:I42),"")</x:f>
      </x:c>
      <x:c r="K42" s="22" t="str">
        <x:f>IF(AND(ISNUMBER(J42),J42&gt;0),H42/J42,"")</x:f>
      </x:c>
      <x:c r="L42" s="23" t="str">
        <x:f>IF(COUNT(D42:F42)=3,SUM(D42:F42),"")</x:f>
      </x:c>
      <x:c r="M42" s="22" t="str">
        <x:f>IF(AND(ISNUMBER(L42),L42&gt;0),E42/L42,"")</x:f>
      </x:c>
      <x:c r="N42" s="26" t="str">
        <x:f>IF(AND(ISNUMBER(D42),D42&gt;0,ISNUMBER(G42)),G42*10000/(D42*12),"")</x:f>
      </x:c>
      <x:c r="O42" s="26" t="str">
        <x:f>IF(AND(ISNUMBER(E42),E42&gt;0,ISNUMBER(H42)),H42*10000/(E42*12),"")</x:f>
      </x:c>
      <x:c r="P42" s="26" t="str">
        <x:f>IF(AND(ISNUMBER(F42),F42&gt;0,ISNUMBER(I42)),I42*10000/(F42*12),"")</x:f>
      </x:c>
      <x:c r="Q42" s="27" t="str">
        <x:f>IF(AND(ISNUMBER(N42),N42&gt;0,ISNUMBER(O42)),O42/N42,"")</x:f>
      </x:c>
      <x:c r="R42" s="27" t="str">
        <x:f>IF(AND(ISNUMBER(P42),P42&gt;0,ISNUMBER(O42)),O42/P42,"")</x:f>
      </x:c>
      <x:c r="S42" t="str">
        <x:f>IF(COUNT(G42:I42)=3,"完整","缺项")</x:f>
        <x:v>缺项</x:v>
      </x:c>
      <x:c r="T42" t="str">
        <x:f>IF(COUNT(D42:F42)=3,"完整","缺项")</x:f>
        <x:v>缺项</x:v>
      </x:c>
      <x:c r="U42" t="str"/>
      <x:c r="V42" t="str">
        <x:v>未查到三类完整退休待遇；不可将参保人数替代退休人数。</x:v>
      </x:c>
    </x:row>
    <x:row r="43" ht="21" customHeight="1">
      <x:c r="A43" t="str">
        <x:f>'县级总表2025'!A43</x:f>
        <x:v>赣州市</x:v>
      </x:c>
      <x:c r="B43" t="str">
        <x:f>'县级总表2025'!B43</x:f>
        <x:v>信丰县</x:v>
      </x:c>
      <x:c r="C43" t="str">
        <x:f>'县级总表2025'!C43</x:f>
        <x:v>县</x:v>
      </x:c>
      <x:c r="D43" s="14" t="str">
        <x:f>IF(ISNUMBER('县级总表2025'!R43),'县级总表2025'!R43,"")</x:f>
      </x:c>
      <x:c r="E43" s="14" t="str">
        <x:f>IF(ISNUMBER('县级总表2025'!S43),'县级总表2025'!S43,"")</x:f>
      </x:c>
      <x:c r="F43" s="14" t="str">
        <x:f>IF(ISNUMBER('县级总表2025'!T43),'县级总表2025'!T43,"")</x:f>
      </x:c>
      <x:c r="G43" s="14" t="str">
        <x:f>IF(ISNUMBER('县级总表2025'!U43),'县级总表2025'!U43,"")</x:f>
      </x:c>
      <x:c r="H43" s="14" t="str">
        <x:f>IF(ISNUMBER('县级总表2025'!V43),'县级总表2025'!V43,"")</x:f>
      </x:c>
      <x:c r="I43" s="14" t="str">
        <x:f>IF(ISNUMBER('县级总表2025'!W43),'县级总表2025'!W43,"")</x:f>
      </x:c>
      <x:c r="J43" s="14" t="str">
        <x:f>IF(COUNT(G43:I43)=3,SUM(G43:I43),"")</x:f>
      </x:c>
      <x:c r="K43" s="22" t="str">
        <x:f>IF(AND(ISNUMBER(J43),J43&gt;0),H43/J43,"")</x:f>
      </x:c>
      <x:c r="L43" s="23" t="str">
        <x:f>IF(COUNT(D43:F43)=3,SUM(D43:F43),"")</x:f>
      </x:c>
      <x:c r="M43" s="22" t="str">
        <x:f>IF(AND(ISNUMBER(L43),L43&gt;0),E43/L43,"")</x:f>
      </x:c>
      <x:c r="N43" s="26" t="str">
        <x:f>IF(AND(ISNUMBER(D43),D43&gt;0,ISNUMBER(G43)),G43*10000/(D43*12),"")</x:f>
      </x:c>
      <x:c r="O43" s="26" t="str">
        <x:f>IF(AND(ISNUMBER(E43),E43&gt;0,ISNUMBER(H43)),H43*10000/(E43*12),"")</x:f>
      </x:c>
      <x:c r="P43" s="26" t="str">
        <x:f>IF(AND(ISNUMBER(F43),F43&gt;0,ISNUMBER(I43)),I43*10000/(F43*12),"")</x:f>
      </x:c>
      <x:c r="Q43" s="27" t="str">
        <x:f>IF(AND(ISNUMBER(N43),N43&gt;0,ISNUMBER(O43)),O43/N43,"")</x:f>
      </x:c>
      <x:c r="R43" s="27" t="str">
        <x:f>IF(AND(ISNUMBER(P43),P43&gt;0,ISNUMBER(O43)),O43/P43,"")</x:f>
      </x:c>
      <x:c r="S43" t="str">
        <x:f>IF(COUNT(G43:I43)=3,"完整","缺项")</x:f>
        <x:v>缺项</x:v>
      </x:c>
      <x:c r="T43" t="str">
        <x:f>IF(COUNT(D43:F43)=3,"完整","缺项")</x:f>
        <x:v>缺项</x:v>
      </x:c>
      <x:c r="U43" t="str">
        <x:v>https://tjgb.hongheiku.com/xjtjgb/xj2020/76398.html</x:v>
      </x:c>
      <x:c r="V43" t="str"/>
    </x:row>
    <x:row r="44" ht="21" customHeight="1">
      <x:c r="A44" t="str">
        <x:f>'县级总表2025'!A44</x:f>
        <x:v>赣州市</x:v>
      </x:c>
      <x:c r="B44" t="str">
        <x:f>'县级总表2025'!B44</x:f>
        <x:v>大余县</x:v>
      </x:c>
      <x:c r="C44" t="str">
        <x:f>'县级总表2025'!C44</x:f>
        <x:v>县</x:v>
      </x:c>
      <x:c r="D44" s="14" t="str">
        <x:f>IF(ISNUMBER('县级总表2025'!R44),'县级总表2025'!R44,"")</x:f>
      </x:c>
      <x:c r="E44" s="14" t="str">
        <x:f>IF(ISNUMBER('县级总表2025'!S44),'县级总表2025'!S44,"")</x:f>
      </x:c>
      <x:c r="F44" s="14" t="str">
        <x:f>IF(ISNUMBER('县级总表2025'!T44),'县级总表2025'!T44,"")</x:f>
      </x:c>
      <x:c r="G44" s="14" t="str">
        <x:f>IF(ISNUMBER('县级总表2025'!U44),'县级总表2025'!U44,"")</x:f>
      </x:c>
      <x:c r="H44" s="14" t="str">
        <x:f>IF(ISNUMBER('县级总表2025'!V44),'县级总表2025'!V44,"")</x:f>
      </x:c>
      <x:c r="I44" s="14" t="str">
        <x:f>IF(ISNUMBER('县级总表2025'!W44),'县级总表2025'!W44,"")</x:f>
      </x:c>
      <x:c r="J44" s="14" t="str">
        <x:f>IF(COUNT(G44:I44)=3,SUM(G44:I44),"")</x:f>
      </x:c>
      <x:c r="K44" s="22" t="str">
        <x:f>IF(AND(ISNUMBER(J44),J44&gt;0),H44/J44,"")</x:f>
      </x:c>
      <x:c r="L44" s="23" t="str">
        <x:f>IF(COUNT(D44:F44)=3,SUM(D44:F44),"")</x:f>
      </x:c>
      <x:c r="M44" s="22" t="str">
        <x:f>IF(AND(ISNUMBER(L44),L44&gt;0),E44/L44,"")</x:f>
      </x:c>
      <x:c r="N44" s="26" t="str">
        <x:f>IF(AND(ISNUMBER(D44),D44&gt;0,ISNUMBER(G44)),G44*10000/(D44*12),"")</x:f>
      </x:c>
      <x:c r="O44" s="26" t="str">
        <x:f>IF(AND(ISNUMBER(E44),E44&gt;0,ISNUMBER(H44)),H44*10000/(E44*12),"")</x:f>
      </x:c>
      <x:c r="P44" s="26" t="str">
        <x:f>IF(AND(ISNUMBER(F44),F44&gt;0,ISNUMBER(I44)),I44*10000/(F44*12),"")</x:f>
      </x:c>
      <x:c r="Q44" s="27" t="str">
        <x:f>IF(AND(ISNUMBER(N44),N44&gt;0,ISNUMBER(O44)),O44/N44,"")</x:f>
      </x:c>
      <x:c r="R44" s="27" t="str">
        <x:f>IF(AND(ISNUMBER(P44),P44&gt;0,ISNUMBER(O44)),O44/P44,"")</x:f>
      </x:c>
      <x:c r="S44" t="str">
        <x:f>IF(COUNT(G44:I44)=3,"完整","缺项")</x:f>
        <x:v>缺项</x:v>
      </x:c>
      <x:c r="T44" t="str">
        <x:f>IF(COUNT(D44:F44)=3,"完整","缺项")</x:f>
        <x:v>缺项</x:v>
      </x:c>
      <x:c r="U44" t="str"/>
      <x:c r="V44" t="str">
        <x:v>未查到三类完整退休待遇；不可将参保人数替代退休人数。</x:v>
      </x:c>
    </x:row>
    <x:row r="45" ht="21" customHeight="1">
      <x:c r="A45" t="str">
        <x:f>'县级总表2025'!A45</x:f>
        <x:v>赣州市</x:v>
      </x:c>
      <x:c r="B45" t="str">
        <x:f>'县级总表2025'!B45</x:f>
        <x:v>上犹县</x:v>
      </x:c>
      <x:c r="C45" t="str">
        <x:f>'县级总表2025'!C45</x:f>
        <x:v>县</x:v>
      </x:c>
      <x:c r="D45" s="14" t="str">
        <x:f>IF(ISNUMBER('县级总表2025'!R45),'县级总表2025'!R45,"")</x:f>
      </x:c>
      <x:c r="E45" s="14" t="str">
        <x:f>IF(ISNUMBER('县级总表2025'!S45),'县级总表2025'!S45,"")</x:f>
      </x:c>
      <x:c r="F45" s="14" t="str">
        <x:f>IF(ISNUMBER('县级总表2025'!T45),'县级总表2025'!T45,"")</x:f>
      </x:c>
      <x:c r="G45" s="14" t="str">
        <x:f>IF(ISNUMBER('县级总表2025'!U45),'县级总表2025'!U45,"")</x:f>
      </x:c>
      <x:c r="H45" s="14" t="str">
        <x:f>IF(ISNUMBER('县级总表2025'!V45),'县级总表2025'!V45,"")</x:f>
      </x:c>
      <x:c r="I45" s="14" t="str">
        <x:f>IF(ISNUMBER('县级总表2025'!W45),'县级总表2025'!W45,"")</x:f>
      </x:c>
      <x:c r="J45" s="14" t="str">
        <x:f>IF(COUNT(G45:I45)=3,SUM(G45:I45),"")</x:f>
      </x:c>
      <x:c r="K45" s="22" t="str">
        <x:f>IF(AND(ISNUMBER(J45),J45&gt;0),H45/J45,"")</x:f>
      </x:c>
      <x:c r="L45" s="23" t="str">
        <x:f>IF(COUNT(D45:F45)=3,SUM(D45:F45),"")</x:f>
      </x:c>
      <x:c r="M45" s="22" t="str">
        <x:f>IF(AND(ISNUMBER(L45),L45&gt;0),E45/L45,"")</x:f>
      </x:c>
      <x:c r="N45" s="26" t="str">
        <x:f>IF(AND(ISNUMBER(D45),D45&gt;0,ISNUMBER(G45)),G45*10000/(D45*12),"")</x:f>
      </x:c>
      <x:c r="O45" s="26" t="str">
        <x:f>IF(AND(ISNUMBER(E45),E45&gt;0,ISNUMBER(H45)),H45*10000/(E45*12),"")</x:f>
      </x:c>
      <x:c r="P45" s="26" t="str">
        <x:f>IF(AND(ISNUMBER(F45),F45&gt;0,ISNUMBER(I45)),I45*10000/(F45*12),"")</x:f>
      </x:c>
      <x:c r="Q45" s="27" t="str">
        <x:f>IF(AND(ISNUMBER(N45),N45&gt;0,ISNUMBER(O45)),O45/N45,"")</x:f>
      </x:c>
      <x:c r="R45" s="27" t="str">
        <x:f>IF(AND(ISNUMBER(P45),P45&gt;0,ISNUMBER(O45)),O45/P45,"")</x:f>
      </x:c>
      <x:c r="S45" t="str">
        <x:f>IF(COUNT(G45:I45)=3,"完整","缺项")</x:f>
        <x:v>缺项</x:v>
      </x:c>
      <x:c r="T45" t="str">
        <x:f>IF(COUNT(D45:F45)=3,"完整","缺项")</x:f>
        <x:v>缺项</x:v>
      </x:c>
      <x:c r="U45" t="str"/>
      <x:c r="V45" t="str">
        <x:v>未查到三类完整退休待遇；不可将参保人数替代退休人数。</x:v>
      </x:c>
    </x:row>
    <x:row r="46" ht="21" customHeight="1">
      <x:c r="A46" t="str">
        <x:f>'县级总表2025'!A46</x:f>
        <x:v>赣州市</x:v>
      </x:c>
      <x:c r="B46" t="str">
        <x:f>'县级总表2025'!B46</x:f>
        <x:v>崇义县</x:v>
      </x:c>
      <x:c r="C46" t="str">
        <x:f>'县级总表2025'!C46</x:f>
        <x:v>县</x:v>
      </x:c>
      <x:c r="D46" s="14" t="str">
        <x:f>IF(ISNUMBER('县级总表2025'!R46),'县级总表2025'!R46,"")</x:f>
      </x:c>
      <x:c r="E46" s="14" t="str">
        <x:f>IF(ISNUMBER('县级总表2025'!S46),'县级总表2025'!S46,"")</x:f>
      </x:c>
      <x:c r="F46" s="14" t="str">
        <x:f>IF(ISNUMBER('县级总表2025'!T46),'县级总表2025'!T46,"")</x:f>
      </x:c>
      <x:c r="G46" s="14" t="str">
        <x:f>IF(ISNUMBER('县级总表2025'!U46),'县级总表2025'!U46,"")</x:f>
      </x:c>
      <x:c r="H46" s="14" t="str">
        <x:f>IF(ISNUMBER('县级总表2025'!V46),'县级总表2025'!V46,"")</x:f>
      </x:c>
      <x:c r="I46" s="14" t="str">
        <x:f>IF(ISNUMBER('县级总表2025'!W46),'县级总表2025'!W46,"")</x:f>
      </x:c>
      <x:c r="J46" s="14" t="str">
        <x:f>IF(COUNT(G46:I46)=3,SUM(G46:I46),"")</x:f>
      </x:c>
      <x:c r="K46" s="22" t="str">
        <x:f>IF(AND(ISNUMBER(J46),J46&gt;0),H46/J46,"")</x:f>
      </x:c>
      <x:c r="L46" s="23" t="str">
        <x:f>IF(COUNT(D46:F46)=3,SUM(D46:F46),"")</x:f>
      </x:c>
      <x:c r="M46" s="22" t="str">
        <x:f>IF(AND(ISNUMBER(L46),L46&gt;0),E46/L46,"")</x:f>
      </x:c>
      <x:c r="N46" s="26" t="str">
        <x:f>IF(AND(ISNUMBER(D46),D46&gt;0,ISNUMBER(G46)),G46*10000/(D46*12),"")</x:f>
      </x:c>
      <x:c r="O46" s="26" t="str">
        <x:f>IF(AND(ISNUMBER(E46),E46&gt;0,ISNUMBER(H46)),H46*10000/(E46*12),"")</x:f>
      </x:c>
      <x:c r="P46" s="26" t="str">
        <x:f>IF(AND(ISNUMBER(F46),F46&gt;0,ISNUMBER(I46)),I46*10000/(F46*12),"")</x:f>
      </x:c>
      <x:c r="Q46" s="27" t="str">
        <x:f>IF(AND(ISNUMBER(N46),N46&gt;0,ISNUMBER(O46)),O46/N46,"")</x:f>
      </x:c>
      <x:c r="R46" s="27" t="str">
        <x:f>IF(AND(ISNUMBER(P46),P46&gt;0,ISNUMBER(O46)),O46/P46,"")</x:f>
      </x:c>
      <x:c r="S46" t="str">
        <x:f>IF(COUNT(G46:I46)=3,"完整","缺项")</x:f>
        <x:v>缺项</x:v>
      </x:c>
      <x:c r="T46" t="str">
        <x:f>IF(COUNT(D46:F46)=3,"完整","缺项")</x:f>
        <x:v>缺项</x:v>
      </x:c>
      <x:c r="U46" t="str">
        <x:v>https://tjgb.hongheiku.com/xjtjgb/xj2020/74335.html</x:v>
      </x:c>
      <x:c r="V46" t="str"/>
    </x:row>
    <x:row r="47" ht="21" customHeight="1">
      <x:c r="A47" t="str">
        <x:f>'县级总表2025'!A47</x:f>
        <x:v>赣州市</x:v>
      </x:c>
      <x:c r="B47" t="str">
        <x:f>'县级总表2025'!B47</x:f>
        <x:v>安远县</x:v>
      </x:c>
      <x:c r="C47" t="str">
        <x:f>'县级总表2025'!C47</x:f>
        <x:v>县</x:v>
      </x:c>
      <x:c r="D47" s="14" t="str">
        <x:f>IF(ISNUMBER('县级总表2025'!R47),'县级总表2025'!R47,"")</x:f>
      </x:c>
      <x:c r="E47" s="14" t="str">
        <x:f>IF(ISNUMBER('县级总表2025'!S47),'县级总表2025'!S47,"")</x:f>
      </x:c>
      <x:c r="F47" s="14" t="str">
        <x:f>IF(ISNUMBER('县级总表2025'!T47),'县级总表2025'!T47,"")</x:f>
      </x:c>
      <x:c r="G47" s="14" t="str">
        <x:f>IF(ISNUMBER('县级总表2025'!U47),'县级总表2025'!U47,"")</x:f>
      </x:c>
      <x:c r="H47" s="14" t="str">
        <x:f>IF(ISNUMBER('县级总表2025'!V47),'县级总表2025'!V47,"")</x:f>
      </x:c>
      <x:c r="I47" s="14" t="str">
        <x:f>IF(ISNUMBER('县级总表2025'!W47),'县级总表2025'!W47,"")</x:f>
      </x:c>
      <x:c r="J47" s="14" t="str">
        <x:f>IF(COUNT(G47:I47)=3,SUM(G47:I47),"")</x:f>
      </x:c>
      <x:c r="K47" s="22" t="str">
        <x:f>IF(AND(ISNUMBER(J47),J47&gt;0),H47/J47,"")</x:f>
      </x:c>
      <x:c r="L47" s="23" t="str">
        <x:f>IF(COUNT(D47:F47)=3,SUM(D47:F47),"")</x:f>
      </x:c>
      <x:c r="M47" s="22" t="str">
        <x:f>IF(AND(ISNUMBER(L47),L47&gt;0),E47/L47,"")</x:f>
      </x:c>
      <x:c r="N47" s="26" t="str">
        <x:f>IF(AND(ISNUMBER(D47),D47&gt;0,ISNUMBER(G47)),G47*10000/(D47*12),"")</x:f>
      </x:c>
      <x:c r="O47" s="26" t="str">
        <x:f>IF(AND(ISNUMBER(E47),E47&gt;0,ISNUMBER(H47)),H47*10000/(E47*12),"")</x:f>
      </x:c>
      <x:c r="P47" s="26" t="str">
        <x:f>IF(AND(ISNUMBER(F47),F47&gt;0,ISNUMBER(I47)),I47*10000/(F47*12),"")</x:f>
      </x:c>
      <x:c r="Q47" s="27" t="str">
        <x:f>IF(AND(ISNUMBER(N47),N47&gt;0,ISNUMBER(O47)),O47/N47,"")</x:f>
      </x:c>
      <x:c r="R47" s="27" t="str">
        <x:f>IF(AND(ISNUMBER(P47),P47&gt;0,ISNUMBER(O47)),O47/P47,"")</x:f>
      </x:c>
      <x:c r="S47" t="str">
        <x:f>IF(COUNT(G47:I47)=3,"完整","缺项")</x:f>
        <x:v>缺项</x:v>
      </x:c>
      <x:c r="T47" t="str">
        <x:f>IF(COUNT(D47:F47)=3,"完整","缺项")</x:f>
        <x:v>缺项</x:v>
      </x:c>
      <x:c r="U47" t="str"/>
      <x:c r="V47" t="str">
        <x:v>未查到三类完整退休待遇；不可将参保人数替代退休人数。</x:v>
      </x:c>
    </x:row>
    <x:row r="48" ht="21" customHeight="1">
      <x:c r="A48" t="str">
        <x:f>'县级总表2025'!A48</x:f>
        <x:v>赣州市</x:v>
      </x:c>
      <x:c r="B48" t="str">
        <x:f>'县级总表2025'!B48</x:f>
        <x:v>定南县</x:v>
      </x:c>
      <x:c r="C48" t="str">
        <x:f>'县级总表2025'!C48</x:f>
        <x:v>县</x:v>
      </x:c>
      <x:c r="D48" s="14" t="str">
        <x:f>IF(ISNUMBER('县级总表2025'!R48),'县级总表2025'!R48,"")</x:f>
      </x:c>
      <x:c r="E48" s="14" t="str">
        <x:f>IF(ISNUMBER('县级总表2025'!S48),'县级总表2025'!S48,"")</x:f>
      </x:c>
      <x:c r="F48" s="14" t="str">
        <x:f>IF(ISNUMBER('县级总表2025'!T48),'县级总表2025'!T48,"")</x:f>
      </x:c>
      <x:c r="G48" s="14" t="str">
        <x:f>IF(ISNUMBER('县级总表2025'!U48),'县级总表2025'!U48,"")</x:f>
      </x:c>
      <x:c r="H48" s="14" t="str">
        <x:f>IF(ISNUMBER('县级总表2025'!V48),'县级总表2025'!V48,"")</x:f>
      </x:c>
      <x:c r="I48" s="14" t="str">
        <x:f>IF(ISNUMBER('县级总表2025'!W48),'县级总表2025'!W48,"")</x:f>
      </x:c>
      <x:c r="J48" s="14" t="str">
        <x:f>IF(COUNT(G48:I48)=3,SUM(G48:I48),"")</x:f>
      </x:c>
      <x:c r="K48" s="22" t="str">
        <x:f>IF(AND(ISNUMBER(J48),J48&gt;0),H48/J48,"")</x:f>
      </x:c>
      <x:c r="L48" s="23" t="str">
        <x:f>IF(COUNT(D48:F48)=3,SUM(D48:F48),"")</x:f>
      </x:c>
      <x:c r="M48" s="22" t="str">
        <x:f>IF(AND(ISNUMBER(L48),L48&gt;0),E48/L48,"")</x:f>
      </x:c>
      <x:c r="N48" s="26" t="str">
        <x:f>IF(AND(ISNUMBER(D48),D48&gt;0,ISNUMBER(G48)),G48*10000/(D48*12),"")</x:f>
      </x:c>
      <x:c r="O48" s="26" t="str">
        <x:f>IF(AND(ISNUMBER(E48),E48&gt;0,ISNUMBER(H48)),H48*10000/(E48*12),"")</x:f>
      </x:c>
      <x:c r="P48" s="26" t="str">
        <x:f>IF(AND(ISNUMBER(F48),F48&gt;0,ISNUMBER(I48)),I48*10000/(F48*12),"")</x:f>
      </x:c>
      <x:c r="Q48" s="27" t="str">
        <x:f>IF(AND(ISNUMBER(N48),N48&gt;0,ISNUMBER(O48)),O48/N48,"")</x:f>
      </x:c>
      <x:c r="R48" s="27" t="str">
        <x:f>IF(AND(ISNUMBER(P48),P48&gt;0,ISNUMBER(O48)),O48/P48,"")</x:f>
      </x:c>
      <x:c r="S48" t="str">
        <x:f>IF(COUNT(G48:I48)=3,"完整","缺项")</x:f>
        <x:v>缺项</x:v>
      </x:c>
      <x:c r="T48" t="str">
        <x:f>IF(COUNT(D48:F48)=3,"完整","缺项")</x:f>
        <x:v>缺项</x:v>
      </x:c>
      <x:c r="U48" t="str"/>
      <x:c r="V48" t="str">
        <x:v>未查到三类完整退休待遇；不可将参保人数替代退休人数。</x:v>
      </x:c>
    </x:row>
    <x:row r="49" ht="21" customHeight="1">
      <x:c r="A49" t="str">
        <x:f>'县级总表2025'!A49</x:f>
        <x:v>赣州市</x:v>
      </x:c>
      <x:c r="B49" t="str">
        <x:f>'县级总表2025'!B49</x:f>
        <x:v>全南县</x:v>
      </x:c>
      <x:c r="C49" t="str">
        <x:f>'县级总表2025'!C49</x:f>
        <x:v>县</x:v>
      </x:c>
      <x:c r="D49" s="14" t="str">
        <x:f>IF(ISNUMBER('县级总表2025'!R49),'县级总表2025'!R49,"")</x:f>
      </x:c>
      <x:c r="E49" s="14" t="str">
        <x:f>IF(ISNUMBER('县级总表2025'!S49),'县级总表2025'!S49,"")</x:f>
      </x:c>
      <x:c r="F49" s="14" t="str">
        <x:f>IF(ISNUMBER('县级总表2025'!T49),'县级总表2025'!T49,"")</x:f>
      </x:c>
      <x:c r="G49" s="14" t="str">
        <x:f>IF(ISNUMBER('县级总表2025'!U49),'县级总表2025'!U49,"")</x:f>
      </x:c>
      <x:c r="H49" s="14" t="str">
        <x:f>IF(ISNUMBER('县级总表2025'!V49),'县级总表2025'!V49,"")</x:f>
      </x:c>
      <x:c r="I49" s="14" t="str">
        <x:f>IF(ISNUMBER('县级总表2025'!W49),'县级总表2025'!W49,"")</x:f>
      </x:c>
      <x:c r="J49" s="14" t="str">
        <x:f>IF(COUNT(G49:I49)=3,SUM(G49:I49),"")</x:f>
      </x:c>
      <x:c r="K49" s="22" t="str">
        <x:f>IF(AND(ISNUMBER(J49),J49&gt;0),H49/J49,"")</x:f>
      </x:c>
      <x:c r="L49" s="23" t="str">
        <x:f>IF(COUNT(D49:F49)=3,SUM(D49:F49),"")</x:f>
      </x:c>
      <x:c r="M49" s="22" t="str">
        <x:f>IF(AND(ISNUMBER(L49),L49&gt;0),E49/L49,"")</x:f>
      </x:c>
      <x:c r="N49" s="26" t="str">
        <x:f>IF(AND(ISNUMBER(D49),D49&gt;0,ISNUMBER(G49)),G49*10000/(D49*12),"")</x:f>
      </x:c>
      <x:c r="O49" s="26" t="str">
        <x:f>IF(AND(ISNUMBER(E49),E49&gt;0,ISNUMBER(H49)),H49*10000/(E49*12),"")</x:f>
      </x:c>
      <x:c r="P49" s="26" t="str">
        <x:f>IF(AND(ISNUMBER(F49),F49&gt;0,ISNUMBER(I49)),I49*10000/(F49*12),"")</x:f>
      </x:c>
      <x:c r="Q49" s="27" t="str">
        <x:f>IF(AND(ISNUMBER(N49),N49&gt;0,ISNUMBER(O49)),O49/N49,"")</x:f>
      </x:c>
      <x:c r="R49" s="27" t="str">
        <x:f>IF(AND(ISNUMBER(P49),P49&gt;0,ISNUMBER(O49)),O49/P49,"")</x:f>
      </x:c>
      <x:c r="S49" t="str">
        <x:f>IF(COUNT(G49:I49)=3,"完整","缺项")</x:f>
        <x:v>缺项</x:v>
      </x:c>
      <x:c r="T49" t="str">
        <x:f>IF(COUNT(D49:F49)=3,"完整","缺项")</x:f>
        <x:v>缺项</x:v>
      </x:c>
      <x:c r="U49" t="str"/>
      <x:c r="V49" t="str">
        <x:v>未查到三类完整退休待遇；不可将参保人数替代退休人数。</x:v>
      </x:c>
    </x:row>
    <x:row r="50" ht="21" customHeight="1">
      <x:c r="A50" t="str">
        <x:f>'县级总表2025'!A50</x:f>
        <x:v>赣州市</x:v>
      </x:c>
      <x:c r="B50" t="str">
        <x:f>'县级总表2025'!B50</x:f>
        <x:v>宁都县</x:v>
      </x:c>
      <x:c r="C50" t="str">
        <x:f>'县级总表2025'!C50</x:f>
        <x:v>县</x:v>
      </x:c>
      <x:c r="D50" s="14" t="str">
        <x:f>IF(ISNUMBER('县级总表2025'!R50),'县级总表2025'!R50,"")</x:f>
      </x:c>
      <x:c r="E50" s="14" t="str">
        <x:f>IF(ISNUMBER('县级总表2025'!S50),'县级总表2025'!S50,"")</x:f>
      </x:c>
      <x:c r="F50" s="14" t="str">
        <x:f>IF(ISNUMBER('县级总表2025'!T50),'县级总表2025'!T50,"")</x:f>
      </x:c>
      <x:c r="G50" s="14" t="str">
        <x:f>IF(ISNUMBER('县级总表2025'!U50),'县级总表2025'!U50,"")</x:f>
      </x:c>
      <x:c r="H50" s="14" t="str">
        <x:f>IF(ISNUMBER('县级总表2025'!V50),'县级总表2025'!V50,"")</x:f>
      </x:c>
      <x:c r="I50" s="14" t="str">
        <x:f>IF(ISNUMBER('县级总表2025'!W50),'县级总表2025'!W50,"")</x:f>
      </x:c>
      <x:c r="J50" s="14" t="str">
        <x:f>IF(COUNT(G50:I50)=3,SUM(G50:I50),"")</x:f>
      </x:c>
      <x:c r="K50" s="22" t="str">
        <x:f>IF(AND(ISNUMBER(J50),J50&gt;0),H50/J50,"")</x:f>
      </x:c>
      <x:c r="L50" s="23" t="str">
        <x:f>IF(COUNT(D50:F50)=3,SUM(D50:F50),"")</x:f>
      </x:c>
      <x:c r="M50" s="22" t="str">
        <x:f>IF(AND(ISNUMBER(L50),L50&gt;0),E50/L50,"")</x:f>
      </x:c>
      <x:c r="N50" s="26" t="str">
        <x:f>IF(AND(ISNUMBER(D50),D50&gt;0,ISNUMBER(G50)),G50*10000/(D50*12),"")</x:f>
      </x:c>
      <x:c r="O50" s="26" t="str">
        <x:f>IF(AND(ISNUMBER(E50),E50&gt;0,ISNUMBER(H50)),H50*10000/(E50*12),"")</x:f>
      </x:c>
      <x:c r="P50" s="26" t="str">
        <x:f>IF(AND(ISNUMBER(F50),F50&gt;0,ISNUMBER(I50)),I50*10000/(F50*12),"")</x:f>
      </x:c>
      <x:c r="Q50" s="27" t="str">
        <x:f>IF(AND(ISNUMBER(N50),N50&gt;0,ISNUMBER(O50)),O50/N50,"")</x:f>
      </x:c>
      <x:c r="R50" s="27" t="str">
        <x:f>IF(AND(ISNUMBER(P50),P50&gt;0,ISNUMBER(O50)),O50/P50,"")</x:f>
      </x:c>
      <x:c r="S50" t="str">
        <x:f>IF(COUNT(G50:I50)=3,"完整","缺项")</x:f>
        <x:v>缺项</x:v>
      </x:c>
      <x:c r="T50" t="str">
        <x:f>IF(COUNT(D50:F50)=3,"完整","缺项")</x:f>
        <x:v>缺项</x:v>
      </x:c>
      <x:c r="U50" t="str"/>
      <x:c r="V50" t="str">
        <x:v>未查到三类完整退休待遇；不可将参保人数替代退休人数。</x:v>
      </x:c>
    </x:row>
    <x:row r="51" ht="21" customHeight="1">
      <x:c r="A51" t="str">
        <x:f>'县级总表2025'!A51</x:f>
        <x:v>赣州市</x:v>
      </x:c>
      <x:c r="B51" t="str">
        <x:f>'县级总表2025'!B51</x:f>
        <x:v>于都县</x:v>
      </x:c>
      <x:c r="C51" t="str">
        <x:f>'县级总表2025'!C51</x:f>
        <x:v>县</x:v>
      </x:c>
      <x:c r="D51" s="14" t="str">
        <x:f>IF(ISNUMBER('县级总表2025'!R51),'县级总表2025'!R51,"")</x:f>
      </x:c>
      <x:c r="E51" s="14" t="str">
        <x:f>IF(ISNUMBER('县级总表2025'!S51),'县级总表2025'!S51,"")</x:f>
      </x:c>
      <x:c r="F51" s="14" t="str">
        <x:f>IF(ISNUMBER('县级总表2025'!T51),'县级总表2025'!T51,"")</x:f>
      </x:c>
      <x:c r="G51" s="14" t="str">
        <x:f>IF(ISNUMBER('县级总表2025'!U51),'县级总表2025'!U51,"")</x:f>
      </x:c>
      <x:c r="H51" s="14" t="str">
        <x:f>IF(ISNUMBER('县级总表2025'!V51),'县级总表2025'!V51,"")</x:f>
      </x:c>
      <x:c r="I51" s="14" t="str">
        <x:f>IF(ISNUMBER('县级总表2025'!W51),'县级总表2025'!W51,"")</x:f>
      </x:c>
      <x:c r="J51" s="14" t="str">
        <x:f>IF(COUNT(G51:I51)=3,SUM(G51:I51),"")</x:f>
      </x:c>
      <x:c r="K51" s="22" t="str">
        <x:f>IF(AND(ISNUMBER(J51),J51&gt;0),H51/J51,"")</x:f>
      </x:c>
      <x:c r="L51" s="23" t="str">
        <x:f>IF(COUNT(D51:F51)=3,SUM(D51:F51),"")</x:f>
      </x:c>
      <x:c r="M51" s="22" t="str">
        <x:f>IF(AND(ISNUMBER(L51),L51&gt;0),E51/L51,"")</x:f>
      </x:c>
      <x:c r="N51" s="26" t="str">
        <x:f>IF(AND(ISNUMBER(D51),D51&gt;0,ISNUMBER(G51)),G51*10000/(D51*12),"")</x:f>
      </x:c>
      <x:c r="O51" s="26" t="str">
        <x:f>IF(AND(ISNUMBER(E51),E51&gt;0,ISNUMBER(H51)),H51*10000/(E51*12),"")</x:f>
      </x:c>
      <x:c r="P51" s="26" t="str">
        <x:f>IF(AND(ISNUMBER(F51),F51&gt;0,ISNUMBER(I51)),I51*10000/(F51*12),"")</x:f>
      </x:c>
      <x:c r="Q51" s="27" t="str">
        <x:f>IF(AND(ISNUMBER(N51),N51&gt;0,ISNUMBER(O51)),O51/N51,"")</x:f>
      </x:c>
      <x:c r="R51" s="27" t="str">
        <x:f>IF(AND(ISNUMBER(P51),P51&gt;0,ISNUMBER(O51)),O51/P51,"")</x:f>
      </x:c>
      <x:c r="S51" t="str">
        <x:f>IF(COUNT(G51:I51)=3,"完整","缺项")</x:f>
        <x:v>缺项</x:v>
      </x:c>
      <x:c r="T51" t="str">
        <x:f>IF(COUNT(D51:F51)=3,"完整","缺项")</x:f>
        <x:v>缺项</x:v>
      </x:c>
      <x:c r="U51" t="str"/>
      <x:c r="V51" t="str">
        <x:v>未查到三类完整退休待遇；不可将参保人数替代退休人数。</x:v>
      </x:c>
    </x:row>
    <x:row r="52" ht="21" customHeight="1">
      <x:c r="A52" t="str">
        <x:f>'县级总表2025'!A52</x:f>
        <x:v>赣州市</x:v>
      </x:c>
      <x:c r="B52" t="str">
        <x:f>'县级总表2025'!B52</x:f>
        <x:v>兴国县</x:v>
      </x:c>
      <x:c r="C52" t="str">
        <x:f>'县级总表2025'!C52</x:f>
        <x:v>县</x:v>
      </x:c>
      <x:c r="D52" s="14" t="str">
        <x:f>IF(ISNUMBER('县级总表2025'!R52),'县级总表2025'!R52,"")</x:f>
      </x:c>
      <x:c r="E52" s="14" t="str">
        <x:f>IF(ISNUMBER('县级总表2025'!S52),'县级总表2025'!S52,"")</x:f>
      </x:c>
      <x:c r="F52" s="14" t="str">
        <x:f>IF(ISNUMBER('县级总表2025'!T52),'县级总表2025'!T52,"")</x:f>
      </x:c>
      <x:c r="G52" s="14" t="str">
        <x:f>IF(ISNUMBER('县级总表2025'!U52),'县级总表2025'!U52,"")</x:f>
      </x:c>
      <x:c r="H52" s="14" t="str">
        <x:f>IF(ISNUMBER('县级总表2025'!V52),'县级总表2025'!V52,"")</x:f>
      </x:c>
      <x:c r="I52" s="14" t="str">
        <x:f>IF(ISNUMBER('县级总表2025'!W52),'县级总表2025'!W52,"")</x:f>
      </x:c>
      <x:c r="J52" s="14" t="str">
        <x:f>IF(COUNT(G52:I52)=3,SUM(G52:I52),"")</x:f>
      </x:c>
      <x:c r="K52" s="22" t="str">
        <x:f>IF(AND(ISNUMBER(J52),J52&gt;0),H52/J52,"")</x:f>
      </x:c>
      <x:c r="L52" s="23" t="str">
        <x:f>IF(COUNT(D52:F52)=3,SUM(D52:F52),"")</x:f>
      </x:c>
      <x:c r="M52" s="22" t="str">
        <x:f>IF(AND(ISNUMBER(L52),L52&gt;0),E52/L52,"")</x:f>
      </x:c>
      <x:c r="N52" s="26" t="str">
        <x:f>IF(AND(ISNUMBER(D52),D52&gt;0,ISNUMBER(G52)),G52*10000/(D52*12),"")</x:f>
      </x:c>
      <x:c r="O52" s="26" t="str">
        <x:f>IF(AND(ISNUMBER(E52),E52&gt;0,ISNUMBER(H52)),H52*10000/(E52*12),"")</x:f>
      </x:c>
      <x:c r="P52" s="26" t="str">
        <x:f>IF(AND(ISNUMBER(F52),F52&gt;0,ISNUMBER(I52)),I52*10000/(F52*12),"")</x:f>
      </x:c>
      <x:c r="Q52" s="27" t="str">
        <x:f>IF(AND(ISNUMBER(N52),N52&gt;0,ISNUMBER(O52)),O52/N52,"")</x:f>
      </x:c>
      <x:c r="R52" s="27" t="str">
        <x:f>IF(AND(ISNUMBER(P52),P52&gt;0,ISNUMBER(O52)),O52/P52,"")</x:f>
      </x:c>
      <x:c r="S52" t="str">
        <x:f>IF(COUNT(G52:I52)=3,"完整","缺项")</x:f>
        <x:v>缺项</x:v>
      </x:c>
      <x:c r="T52" t="str">
        <x:f>IF(COUNT(D52:F52)=3,"完整","缺项")</x:f>
        <x:v>缺项</x:v>
      </x:c>
      <x:c r="U52" t="str">
        <x:v>https://tjgb.hongheiku.com/xjtjgb/xj2020/71515.html</x:v>
      </x:c>
      <x:c r="V52" t="str"/>
    </x:row>
    <x:row r="53" ht="21" customHeight="1">
      <x:c r="A53" t="str">
        <x:f>'县级总表2025'!A53</x:f>
        <x:v>赣州市</x:v>
      </x:c>
      <x:c r="B53" t="str">
        <x:f>'县级总表2025'!B53</x:f>
        <x:v>会昌县</x:v>
      </x:c>
      <x:c r="C53" t="str">
        <x:f>'县级总表2025'!C53</x:f>
        <x:v>县</x:v>
      </x:c>
      <x:c r="D53" s="14" t="str">
        <x:f>IF(ISNUMBER('县级总表2025'!R53),'县级总表2025'!R53,"")</x:f>
      </x:c>
      <x:c r="E53" s="14" t="str">
        <x:f>IF(ISNUMBER('县级总表2025'!S53),'县级总表2025'!S53,"")</x:f>
      </x:c>
      <x:c r="F53" s="14" t="str">
        <x:f>IF(ISNUMBER('县级总表2025'!T53),'县级总表2025'!T53,"")</x:f>
      </x:c>
      <x:c r="G53" s="14" t="str">
        <x:f>IF(ISNUMBER('县级总表2025'!U53),'县级总表2025'!U53,"")</x:f>
      </x:c>
      <x:c r="H53" s="14" t="str">
        <x:f>IF(ISNUMBER('县级总表2025'!V53),'县级总表2025'!V53,"")</x:f>
      </x:c>
      <x:c r="I53" s="14" t="str">
        <x:f>IF(ISNUMBER('县级总表2025'!W53),'县级总表2025'!W53,"")</x:f>
      </x:c>
      <x:c r="J53" s="14" t="str">
        <x:f>IF(COUNT(G53:I53)=3,SUM(G53:I53),"")</x:f>
      </x:c>
      <x:c r="K53" s="22" t="str">
        <x:f>IF(AND(ISNUMBER(J53),J53&gt;0),H53/J53,"")</x:f>
      </x:c>
      <x:c r="L53" s="23" t="str">
        <x:f>IF(COUNT(D53:F53)=3,SUM(D53:F53),"")</x:f>
      </x:c>
      <x:c r="M53" s="22" t="str">
        <x:f>IF(AND(ISNUMBER(L53),L53&gt;0),E53/L53,"")</x:f>
      </x:c>
      <x:c r="N53" s="26" t="str">
        <x:f>IF(AND(ISNUMBER(D53),D53&gt;0,ISNUMBER(G53)),G53*10000/(D53*12),"")</x:f>
      </x:c>
      <x:c r="O53" s="26" t="str">
        <x:f>IF(AND(ISNUMBER(E53),E53&gt;0,ISNUMBER(H53)),H53*10000/(E53*12),"")</x:f>
      </x:c>
      <x:c r="P53" s="26" t="str">
        <x:f>IF(AND(ISNUMBER(F53),F53&gt;0,ISNUMBER(I53)),I53*10000/(F53*12),"")</x:f>
      </x:c>
      <x:c r="Q53" s="27" t="str">
        <x:f>IF(AND(ISNUMBER(N53),N53&gt;0,ISNUMBER(O53)),O53/N53,"")</x:f>
      </x:c>
      <x:c r="R53" s="27" t="str">
        <x:f>IF(AND(ISNUMBER(P53),P53&gt;0,ISNUMBER(O53)),O53/P53,"")</x:f>
      </x:c>
      <x:c r="S53" t="str">
        <x:f>IF(COUNT(G53:I53)=3,"完整","缺项")</x:f>
        <x:v>缺项</x:v>
      </x:c>
      <x:c r="T53" t="str">
        <x:f>IF(COUNT(D53:F53)=3,"完整","缺项")</x:f>
        <x:v>缺项</x:v>
      </x:c>
      <x:c r="U53" t="str"/>
      <x:c r="V53" t="str">
        <x:v>未查到三类完整退休待遇；不可将参保人数替代退休人数。</x:v>
      </x:c>
    </x:row>
    <x:row r="54" ht="21" customHeight="1">
      <x:c r="A54" t="str">
        <x:f>'县级总表2025'!A54</x:f>
        <x:v>赣州市</x:v>
      </x:c>
      <x:c r="B54" t="str">
        <x:f>'县级总表2025'!B54</x:f>
        <x:v>寻乌县</x:v>
      </x:c>
      <x:c r="C54" t="str">
        <x:f>'县级总表2025'!C54</x:f>
        <x:v>县</x:v>
      </x:c>
      <x:c r="D54" s="14" t="str">
        <x:f>IF(ISNUMBER('县级总表2025'!R54),'县级总表2025'!R54,"")</x:f>
      </x:c>
      <x:c r="E54" s="14" t="str">
        <x:f>IF(ISNUMBER('县级总表2025'!S54),'县级总表2025'!S54,"")</x:f>
      </x:c>
      <x:c r="F54" s="14" t="str">
        <x:f>IF(ISNUMBER('县级总表2025'!T54),'县级总表2025'!T54,"")</x:f>
      </x:c>
      <x:c r="G54" s="14" t="str">
        <x:f>IF(ISNUMBER('县级总表2025'!U54),'县级总表2025'!U54,"")</x:f>
      </x:c>
      <x:c r="H54" s="14" t="str">
        <x:f>IF(ISNUMBER('县级总表2025'!V54),'县级总表2025'!V54,"")</x:f>
      </x:c>
      <x:c r="I54" s="14" t="str">
        <x:f>IF(ISNUMBER('县级总表2025'!W54),'县级总表2025'!W54,"")</x:f>
      </x:c>
      <x:c r="J54" s="14" t="str">
        <x:f>IF(COUNT(G54:I54)=3,SUM(G54:I54),"")</x:f>
      </x:c>
      <x:c r="K54" s="22" t="str">
        <x:f>IF(AND(ISNUMBER(J54),J54&gt;0),H54/J54,"")</x:f>
      </x:c>
      <x:c r="L54" s="23" t="str">
        <x:f>IF(COUNT(D54:F54)=3,SUM(D54:F54),"")</x:f>
      </x:c>
      <x:c r="M54" s="22" t="str">
        <x:f>IF(AND(ISNUMBER(L54),L54&gt;0),E54/L54,"")</x:f>
      </x:c>
      <x:c r="N54" s="26" t="str">
        <x:f>IF(AND(ISNUMBER(D54),D54&gt;0,ISNUMBER(G54)),G54*10000/(D54*12),"")</x:f>
      </x:c>
      <x:c r="O54" s="26" t="str">
        <x:f>IF(AND(ISNUMBER(E54),E54&gt;0,ISNUMBER(H54)),H54*10000/(E54*12),"")</x:f>
      </x:c>
      <x:c r="P54" s="26" t="str">
        <x:f>IF(AND(ISNUMBER(F54),F54&gt;0,ISNUMBER(I54)),I54*10000/(F54*12),"")</x:f>
      </x:c>
      <x:c r="Q54" s="27" t="str">
        <x:f>IF(AND(ISNUMBER(N54),N54&gt;0,ISNUMBER(O54)),O54/N54,"")</x:f>
      </x:c>
      <x:c r="R54" s="27" t="str">
        <x:f>IF(AND(ISNUMBER(P54),P54&gt;0,ISNUMBER(O54)),O54/P54,"")</x:f>
      </x:c>
      <x:c r="S54" t="str">
        <x:f>IF(COUNT(G54:I54)=3,"完整","缺项")</x:f>
        <x:v>缺项</x:v>
      </x:c>
      <x:c r="T54" t="str">
        <x:f>IF(COUNT(D54:F54)=3,"完整","缺项")</x:f>
        <x:v>缺项</x:v>
      </x:c>
      <x:c r="U54" t="str"/>
      <x:c r="V54" t="str">
        <x:v>未查到三类完整退休待遇；不可将参保人数替代退休人数。</x:v>
      </x:c>
    </x:row>
    <x:row r="55" ht="21" customHeight="1">
      <x:c r="A55" t="str">
        <x:f>'县级总表2025'!A55</x:f>
        <x:v>赣州市</x:v>
      </x:c>
      <x:c r="B55" t="str">
        <x:f>'县级总表2025'!B55</x:f>
        <x:v>石城县</x:v>
      </x:c>
      <x:c r="C55" t="str">
        <x:f>'县级总表2025'!C55</x:f>
        <x:v>县</x:v>
      </x:c>
      <x:c r="D55" s="14" t="str">
        <x:f>IF(ISNUMBER('县级总表2025'!R55),'县级总表2025'!R55,"")</x:f>
      </x:c>
      <x:c r="E55" s="14" t="str">
        <x:f>IF(ISNUMBER('县级总表2025'!S55),'县级总表2025'!S55,"")</x:f>
      </x:c>
      <x:c r="F55" s="14" t="str">
        <x:f>IF(ISNUMBER('县级总表2025'!T55),'县级总表2025'!T55,"")</x:f>
      </x:c>
      <x:c r="G55" s="14" t="str">
        <x:f>IF(ISNUMBER('县级总表2025'!U55),'县级总表2025'!U55,"")</x:f>
      </x:c>
      <x:c r="H55" s="14" t="str">
        <x:f>IF(ISNUMBER('县级总表2025'!V55),'县级总表2025'!V55,"")</x:f>
      </x:c>
      <x:c r="I55" s="14" t="str">
        <x:f>IF(ISNUMBER('县级总表2025'!W55),'县级总表2025'!W55,"")</x:f>
      </x:c>
      <x:c r="J55" s="14" t="str">
        <x:f>IF(COUNT(G55:I55)=3,SUM(G55:I55),"")</x:f>
      </x:c>
      <x:c r="K55" s="22" t="str">
        <x:f>IF(AND(ISNUMBER(J55),J55&gt;0),H55/J55,"")</x:f>
      </x:c>
      <x:c r="L55" s="23" t="str">
        <x:f>IF(COUNT(D55:F55)=3,SUM(D55:F55),"")</x:f>
      </x:c>
      <x:c r="M55" s="22" t="str">
        <x:f>IF(AND(ISNUMBER(L55),L55&gt;0),E55/L55,"")</x:f>
      </x:c>
      <x:c r="N55" s="26" t="str">
        <x:f>IF(AND(ISNUMBER(D55),D55&gt;0,ISNUMBER(G55)),G55*10000/(D55*12),"")</x:f>
      </x:c>
      <x:c r="O55" s="26" t="str">
        <x:f>IF(AND(ISNUMBER(E55),E55&gt;0,ISNUMBER(H55)),H55*10000/(E55*12),"")</x:f>
      </x:c>
      <x:c r="P55" s="26" t="str">
        <x:f>IF(AND(ISNUMBER(F55),F55&gt;0,ISNUMBER(I55)),I55*10000/(F55*12),"")</x:f>
      </x:c>
      <x:c r="Q55" s="27" t="str">
        <x:f>IF(AND(ISNUMBER(N55),N55&gt;0,ISNUMBER(O55)),O55/N55,"")</x:f>
      </x:c>
      <x:c r="R55" s="27" t="str">
        <x:f>IF(AND(ISNUMBER(P55),P55&gt;0,ISNUMBER(O55)),O55/P55,"")</x:f>
      </x:c>
      <x:c r="S55" t="str">
        <x:f>IF(COUNT(G55:I55)=3,"完整","缺项")</x:f>
        <x:v>缺项</x:v>
      </x:c>
      <x:c r="T55" t="str">
        <x:f>IF(COUNT(D55:F55)=3,"完整","缺项")</x:f>
        <x:v>缺项</x:v>
      </x:c>
      <x:c r="U55" t="str"/>
      <x:c r="V55" t="str">
        <x:v>未查到三类完整退休待遇；不可将参保人数替代退休人数。</x:v>
      </x:c>
    </x:row>
    <x:row r="56" ht="21" customHeight="1">
      <x:c r="A56" t="str">
        <x:f>'县级总表2025'!A56</x:f>
        <x:v>吉安市</x:v>
      </x:c>
      <x:c r="B56" t="str">
        <x:f>'县级总表2025'!B56</x:f>
        <x:v>吉州区</x:v>
      </x:c>
      <x:c r="C56" t="str">
        <x:f>'县级总表2025'!C56</x:f>
        <x:v>区</x:v>
      </x:c>
      <x:c r="D56" s="14" t="str">
        <x:f>IF(ISNUMBER('县级总表2025'!R56),'县级总表2025'!R56,"")</x:f>
      </x:c>
      <x:c r="E56" s="14" t="str">
        <x:f>IF(ISNUMBER('县级总表2025'!S56),'县级总表2025'!S56,"")</x:f>
      </x:c>
      <x:c r="F56" s="14" t="str">
        <x:f>IF(ISNUMBER('县级总表2025'!T56),'县级总表2025'!T56,"")</x:f>
      </x:c>
      <x:c r="G56" s="14" t="str">
        <x:f>IF(ISNUMBER('县级总表2025'!U56),'县级总表2025'!U56,"")</x:f>
      </x:c>
      <x:c r="H56" s="14" t="str">
        <x:f>IF(ISNUMBER('县级总表2025'!V56),'县级总表2025'!V56,"")</x:f>
      </x:c>
      <x:c r="I56" s="14" t="str">
        <x:f>IF(ISNUMBER('县级总表2025'!W56),'县级总表2025'!W56,"")</x:f>
      </x:c>
      <x:c r="J56" s="14" t="str">
        <x:f>IF(COUNT(G56:I56)=3,SUM(G56:I56),"")</x:f>
      </x:c>
      <x:c r="K56" s="22" t="str">
        <x:f>IF(AND(ISNUMBER(J56),J56&gt;0),H56/J56,"")</x:f>
      </x:c>
      <x:c r="L56" s="23" t="str">
        <x:f>IF(COUNT(D56:F56)=3,SUM(D56:F56),"")</x:f>
      </x:c>
      <x:c r="M56" s="22" t="str">
        <x:f>IF(AND(ISNUMBER(L56),L56&gt;0),E56/L56,"")</x:f>
      </x:c>
      <x:c r="N56" s="26" t="str">
        <x:f>IF(AND(ISNUMBER(D56),D56&gt;0,ISNUMBER(G56)),G56*10000/(D56*12),"")</x:f>
      </x:c>
      <x:c r="O56" s="26" t="str">
        <x:f>IF(AND(ISNUMBER(E56),E56&gt;0,ISNUMBER(H56)),H56*10000/(E56*12),"")</x:f>
      </x:c>
      <x:c r="P56" s="26" t="str">
        <x:f>IF(AND(ISNUMBER(F56),F56&gt;0,ISNUMBER(I56)),I56*10000/(F56*12),"")</x:f>
      </x:c>
      <x:c r="Q56" s="27" t="str">
        <x:f>IF(AND(ISNUMBER(N56),N56&gt;0,ISNUMBER(O56)),O56/N56,"")</x:f>
      </x:c>
      <x:c r="R56" s="27" t="str">
        <x:f>IF(AND(ISNUMBER(P56),P56&gt;0,ISNUMBER(O56)),O56/P56,"")</x:f>
      </x:c>
      <x:c r="S56" t="str">
        <x:f>IF(COUNT(G56:I56)=3,"完整","缺项")</x:f>
        <x:v>缺项</x:v>
      </x:c>
      <x:c r="T56" t="str">
        <x:f>IF(COUNT(D56:F56)=3,"完整","缺项")</x:f>
        <x:v>缺项</x:v>
      </x:c>
      <x:c r="U56" t="str"/>
      <x:c r="V56" t="str">
        <x:v>未查到三类完整退休待遇；不可将参保人数替代退休人数。</x:v>
      </x:c>
    </x:row>
    <x:row r="57" ht="21" customHeight="1">
      <x:c r="A57" t="str">
        <x:f>'县级总表2025'!A57</x:f>
        <x:v>吉安市</x:v>
      </x:c>
      <x:c r="B57" t="str">
        <x:f>'县级总表2025'!B57</x:f>
        <x:v>青原区</x:v>
      </x:c>
      <x:c r="C57" t="str">
        <x:f>'县级总表2025'!C57</x:f>
        <x:v>区</x:v>
      </x:c>
      <x:c r="D57" s="14" t="str">
        <x:f>IF(ISNUMBER('县级总表2025'!R57),'县级总表2025'!R57,"")</x:f>
      </x:c>
      <x:c r="E57" s="14" t="str">
        <x:f>IF(ISNUMBER('县级总表2025'!S57),'县级总表2025'!S57,"")</x:f>
      </x:c>
      <x:c r="F57" s="14" t="str">
        <x:f>IF(ISNUMBER('县级总表2025'!T57),'县级总表2025'!T57,"")</x:f>
      </x:c>
      <x:c r="G57" s="14" t="str">
        <x:f>IF(ISNUMBER('县级总表2025'!U57),'县级总表2025'!U57,"")</x:f>
      </x:c>
      <x:c r="H57" s="14" t="str">
        <x:f>IF(ISNUMBER('县级总表2025'!V57),'县级总表2025'!V57,"")</x:f>
      </x:c>
      <x:c r="I57" s="14" t="str">
        <x:f>IF(ISNUMBER('县级总表2025'!W57),'县级总表2025'!W57,"")</x:f>
      </x:c>
      <x:c r="J57" s="14" t="str">
        <x:f>IF(COUNT(G57:I57)=3,SUM(G57:I57),"")</x:f>
      </x:c>
      <x:c r="K57" s="22" t="str">
        <x:f>IF(AND(ISNUMBER(J57),J57&gt;0),H57/J57,"")</x:f>
      </x:c>
      <x:c r="L57" s="23" t="str">
        <x:f>IF(COUNT(D57:F57)=3,SUM(D57:F57),"")</x:f>
      </x:c>
      <x:c r="M57" s="22" t="str">
        <x:f>IF(AND(ISNUMBER(L57),L57&gt;0),E57/L57,"")</x:f>
      </x:c>
      <x:c r="N57" s="26" t="str">
        <x:f>IF(AND(ISNUMBER(D57),D57&gt;0,ISNUMBER(G57)),G57*10000/(D57*12),"")</x:f>
      </x:c>
      <x:c r="O57" s="26" t="str">
        <x:f>IF(AND(ISNUMBER(E57),E57&gt;0,ISNUMBER(H57)),H57*10000/(E57*12),"")</x:f>
      </x:c>
      <x:c r="P57" s="26" t="str">
        <x:f>IF(AND(ISNUMBER(F57),F57&gt;0,ISNUMBER(I57)),I57*10000/(F57*12),"")</x:f>
      </x:c>
      <x:c r="Q57" s="27" t="str">
        <x:f>IF(AND(ISNUMBER(N57),N57&gt;0,ISNUMBER(O57)),O57/N57,"")</x:f>
      </x:c>
      <x:c r="R57" s="27" t="str">
        <x:f>IF(AND(ISNUMBER(P57),P57&gt;0,ISNUMBER(O57)),O57/P57,"")</x:f>
      </x:c>
      <x:c r="S57" t="str">
        <x:f>IF(COUNT(G57:I57)=3,"完整","缺项")</x:f>
        <x:v>缺项</x:v>
      </x:c>
      <x:c r="T57" t="str">
        <x:f>IF(COUNT(D57:F57)=3,"完整","缺项")</x:f>
        <x:v>缺项</x:v>
      </x:c>
      <x:c r="U57" t="str"/>
      <x:c r="V57" t="str">
        <x:v>未查到三类完整退休待遇；不可将参保人数替代退休人数。</x:v>
      </x:c>
    </x:row>
    <x:row r="58" ht="21" customHeight="1">
      <x:c r="A58" t="str">
        <x:f>'县级总表2025'!A58</x:f>
        <x:v>吉安市</x:v>
      </x:c>
      <x:c r="B58" t="str">
        <x:f>'县级总表2025'!B58</x:f>
        <x:v>井冈山市</x:v>
      </x:c>
      <x:c r="C58" t="str">
        <x:f>'县级总表2025'!C58</x:f>
        <x:v>县级市</x:v>
      </x:c>
      <x:c r="D58" s="14" t="str">
        <x:f>IF(ISNUMBER('县级总表2025'!R58),'县级总表2025'!R58,"")</x:f>
      </x:c>
      <x:c r="E58" s="14" t="str">
        <x:f>IF(ISNUMBER('县级总表2025'!S58),'县级总表2025'!S58,"")</x:f>
      </x:c>
      <x:c r="F58" s="14" t="str">
        <x:f>IF(ISNUMBER('县级总表2025'!T58),'县级总表2025'!T58,"")</x:f>
      </x:c>
      <x:c r="G58" s="14" t="str">
        <x:f>IF(ISNUMBER('县级总表2025'!U58),'县级总表2025'!U58,"")</x:f>
      </x:c>
      <x:c r="H58" s="14" t="str">
        <x:f>IF(ISNUMBER('县级总表2025'!V58),'县级总表2025'!V58,"")</x:f>
      </x:c>
      <x:c r="I58" s="14" t="str">
        <x:f>IF(ISNUMBER('县级总表2025'!W58),'县级总表2025'!W58,"")</x:f>
      </x:c>
      <x:c r="J58" s="14" t="str">
        <x:f>IF(COUNT(G58:I58)=3,SUM(G58:I58),"")</x:f>
      </x:c>
      <x:c r="K58" s="22" t="str">
        <x:f>IF(AND(ISNUMBER(J58),J58&gt;0),H58/J58,"")</x:f>
      </x:c>
      <x:c r="L58" s="23" t="str">
        <x:f>IF(COUNT(D58:F58)=3,SUM(D58:F58),"")</x:f>
      </x:c>
      <x:c r="M58" s="22" t="str">
        <x:f>IF(AND(ISNUMBER(L58),L58&gt;0),E58/L58,"")</x:f>
      </x:c>
      <x:c r="N58" s="26" t="str">
        <x:f>IF(AND(ISNUMBER(D58),D58&gt;0,ISNUMBER(G58)),G58*10000/(D58*12),"")</x:f>
      </x:c>
      <x:c r="O58" s="26" t="str">
        <x:f>IF(AND(ISNUMBER(E58),E58&gt;0,ISNUMBER(H58)),H58*10000/(E58*12),"")</x:f>
      </x:c>
      <x:c r="P58" s="26" t="str">
        <x:f>IF(AND(ISNUMBER(F58),F58&gt;0,ISNUMBER(I58)),I58*10000/(F58*12),"")</x:f>
      </x:c>
      <x:c r="Q58" s="27" t="str">
        <x:f>IF(AND(ISNUMBER(N58),N58&gt;0,ISNUMBER(O58)),O58/N58,"")</x:f>
      </x:c>
      <x:c r="R58" s="27" t="str">
        <x:f>IF(AND(ISNUMBER(P58),P58&gt;0,ISNUMBER(O58)),O58/P58,"")</x:f>
      </x:c>
      <x:c r="S58" t="str">
        <x:f>IF(COUNT(G58:I58)=3,"完整","缺项")</x:f>
        <x:v>缺项</x:v>
      </x:c>
      <x:c r="T58" t="str">
        <x:f>IF(COUNT(D58:F58)=3,"完整","缺项")</x:f>
        <x:v>缺项</x:v>
      </x:c>
      <x:c r="U58" t="str"/>
      <x:c r="V58" t="str">
        <x:v>未查到三类完整退休待遇；不可将参保人数替代退休人数。</x:v>
      </x:c>
    </x:row>
    <x:row r="59" ht="21" customHeight="1">
      <x:c r="A59" t="str">
        <x:f>'县级总表2025'!A59</x:f>
        <x:v>吉安市</x:v>
      </x:c>
      <x:c r="B59" t="str">
        <x:f>'县级总表2025'!B59</x:f>
        <x:v>吉安县</x:v>
      </x:c>
      <x:c r="C59" t="str">
        <x:f>'县级总表2025'!C59</x:f>
        <x:v>县</x:v>
      </x:c>
      <x:c r="D59" s="14" t="str">
        <x:f>IF(ISNUMBER('县级总表2025'!R59),'县级总表2025'!R59,"")</x:f>
      </x:c>
      <x:c r="E59" s="14" t="str">
        <x:f>IF(ISNUMBER('县级总表2025'!S59),'县级总表2025'!S59,"")</x:f>
      </x:c>
      <x:c r="F59" s="14" t="str">
        <x:f>IF(ISNUMBER('县级总表2025'!T59),'县级总表2025'!T59,"")</x:f>
      </x:c>
      <x:c r="G59" s="14" t="n">
        <x:f>IF(ISNUMBER('县级总表2025'!U59),'县级总表2025'!U59,"")</x:f>
        <x:v>57981</x:v>
      </x:c>
      <x:c r="H59" s="14" t="n">
        <x:f>IF(ISNUMBER('县级总表2025'!V59),'县级总表2025'!V59,"")</x:f>
        <x:v>32639</x:v>
      </x:c>
      <x:c r="I59" s="14" t="n">
        <x:f>IF(ISNUMBER('县级总表2025'!W59),'县级总表2025'!W59,"")</x:f>
        <x:v>22880</x:v>
      </x:c>
      <x:c r="J59" s="14" t="n">
        <x:f>IF(COUNT(G59:I59)=3,SUM(G59:I59),"")</x:f>
        <x:v>113500</x:v>
      </x:c>
      <x:c r="K59" s="22" t="n">
        <x:f>IF(AND(ISNUMBER(J59),J59&gt;0),H59/J59,"")</x:f>
        <x:v>0.287568281938326</x:v>
      </x:c>
      <x:c r="L59" s="23" t="str">
        <x:f>IF(COUNT(D59:F59)=3,SUM(D59:F59),"")</x:f>
      </x:c>
      <x:c r="M59" s="22" t="str">
        <x:f>IF(AND(ISNUMBER(L59),L59&gt;0),E59/L59,"")</x:f>
      </x:c>
      <x:c r="N59" s="26" t="str">
        <x:f>IF(AND(ISNUMBER(D59),D59&gt;0,ISNUMBER(G59)),G59*10000/(D59*12),"")</x:f>
      </x:c>
      <x:c r="O59" s="26" t="str">
        <x:f>IF(AND(ISNUMBER(E59),E59&gt;0,ISNUMBER(H59)),H59*10000/(E59*12),"")</x:f>
      </x:c>
      <x:c r="P59" s="26" t="str">
        <x:f>IF(AND(ISNUMBER(F59),F59&gt;0,ISNUMBER(I59)),I59*10000/(F59*12),"")</x:f>
      </x:c>
      <x:c r="Q59" s="27" t="str">
        <x:f>IF(AND(ISNUMBER(N59),N59&gt;0,ISNUMBER(O59)),O59/N59,"")</x:f>
      </x:c>
      <x:c r="R59" s="27" t="str">
        <x:f>IF(AND(ISNUMBER(P59),P59&gt;0,ISNUMBER(O59)),O59/P59,"")</x:f>
      </x:c>
      <x:c r="S59" t="str">
        <x:f>IF(COUNT(G59:I59)=3,"完整","缺项")</x:f>
        <x:v>完整</x:v>
      </x:c>
      <x:c r="T59" t="str">
        <x:f>IF(COUNT(D59:F59)=3,"完整","缺项")</x:f>
        <x:v>缺项</x:v>
      </x:c>
      <x:c r="U59" t="str">
        <x:v>https://maptable.com/tjgb/2025/%E5%90%89%E5%AE%89%E5%B8%82/%E5%90%89%E5%AE%89%E5%8E%BF/report/ji-an-shi-ji-an-xian-2025-nian-guo-min-jing-ji-he-she-hui-fa-zhan-tong-ji-gong-bao</x:v>
      </x:c>
      <x:c r="V59" t="str">
        <x:v>吉安县数据注明不含井冈山经开区。注意三类参保人数不是待遇领取人数，不可计算人均待遇。</x:v>
      </x:c>
    </x:row>
    <x:row r="60" ht="21" customHeight="1">
      <x:c r="A60" t="str">
        <x:f>'县级总表2025'!A60</x:f>
        <x:v>吉安市</x:v>
      </x:c>
      <x:c r="B60" t="str">
        <x:f>'县级总表2025'!B60</x:f>
        <x:v>吉水县</x:v>
      </x:c>
      <x:c r="C60" t="str">
        <x:f>'县级总表2025'!C60</x:f>
        <x:v>县</x:v>
      </x:c>
      <x:c r="D60" s="14" t="str">
        <x:f>IF(ISNUMBER('县级总表2025'!R60),'县级总表2025'!R60,"")</x:f>
      </x:c>
      <x:c r="E60" s="14" t="str">
        <x:f>IF(ISNUMBER('县级总表2025'!S60),'县级总表2025'!S60,"")</x:f>
      </x:c>
      <x:c r="F60" s="14" t="str">
        <x:f>IF(ISNUMBER('县级总表2025'!T60),'县级总表2025'!T60,"")</x:f>
      </x:c>
      <x:c r="G60" s="14" t="str">
        <x:f>IF(ISNUMBER('县级总表2025'!U60),'县级总表2025'!U60,"")</x:f>
      </x:c>
      <x:c r="H60" s="14" t="str">
        <x:f>IF(ISNUMBER('县级总表2025'!V60),'县级总表2025'!V60,"")</x:f>
      </x:c>
      <x:c r="I60" s="14" t="str">
        <x:f>IF(ISNUMBER('县级总表2025'!W60),'县级总表2025'!W60,"")</x:f>
      </x:c>
      <x:c r="J60" s="14" t="str">
        <x:f>IF(COUNT(G60:I60)=3,SUM(G60:I60),"")</x:f>
      </x:c>
      <x:c r="K60" s="22" t="str">
        <x:f>IF(AND(ISNUMBER(J60),J60&gt;0),H60/J60,"")</x:f>
      </x:c>
      <x:c r="L60" s="23" t="str">
        <x:f>IF(COUNT(D60:F60)=3,SUM(D60:F60),"")</x:f>
      </x:c>
      <x:c r="M60" s="22" t="str">
        <x:f>IF(AND(ISNUMBER(L60),L60&gt;0),E60/L60,"")</x:f>
      </x:c>
      <x:c r="N60" s="26" t="str">
        <x:f>IF(AND(ISNUMBER(D60),D60&gt;0,ISNUMBER(G60)),G60*10000/(D60*12),"")</x:f>
      </x:c>
      <x:c r="O60" s="26" t="str">
        <x:f>IF(AND(ISNUMBER(E60),E60&gt;0,ISNUMBER(H60)),H60*10000/(E60*12),"")</x:f>
      </x:c>
      <x:c r="P60" s="26" t="str">
        <x:f>IF(AND(ISNUMBER(F60),F60&gt;0,ISNUMBER(I60)),I60*10000/(F60*12),"")</x:f>
      </x:c>
      <x:c r="Q60" s="27" t="str">
        <x:f>IF(AND(ISNUMBER(N60),N60&gt;0,ISNUMBER(O60)),O60/N60,"")</x:f>
      </x:c>
      <x:c r="R60" s="27" t="str">
        <x:f>IF(AND(ISNUMBER(P60),P60&gt;0,ISNUMBER(O60)),O60/P60,"")</x:f>
      </x:c>
      <x:c r="S60" t="str">
        <x:f>IF(COUNT(G60:I60)=3,"完整","缺项")</x:f>
        <x:v>缺项</x:v>
      </x:c>
      <x:c r="T60" t="str">
        <x:f>IF(COUNT(D60:F60)=3,"完整","缺项")</x:f>
        <x:v>缺项</x:v>
      </x:c>
      <x:c r="U60" t="str"/>
      <x:c r="V60" t="str">
        <x:v>未查到三类完整退休待遇；不可将参保人数替代退休人数。</x:v>
      </x:c>
    </x:row>
    <x:row r="61" ht="21" customHeight="1">
      <x:c r="A61" t="str">
        <x:f>'县级总表2025'!A61</x:f>
        <x:v>吉安市</x:v>
      </x:c>
      <x:c r="B61" t="str">
        <x:f>'县级总表2025'!B61</x:f>
        <x:v>峡江县</x:v>
      </x:c>
      <x:c r="C61" t="str">
        <x:f>'县级总表2025'!C61</x:f>
        <x:v>县</x:v>
      </x:c>
      <x:c r="D61" s="14" t="n">
        <x:f>IF(ISNUMBER('县级总表2025'!R61),'县级总表2025'!R61,"")</x:f>
        <x:v>11273</x:v>
      </x:c>
      <x:c r="E61" s="14" t="n">
        <x:f>IF(ISNUMBER('县级总表2025'!S61),'县级总表2025'!S61,"")</x:f>
        <x:v>2508</x:v>
      </x:c>
      <x:c r="F61" s="14" t="n">
        <x:f>IF(ISNUMBER('县级总表2025'!T61),'县级总表2025'!T61,"")</x:f>
        <x:v>27367</x:v>
      </x:c>
      <x:c r="G61" s="14" t="n">
        <x:f>IF(ISNUMBER('县级总表2025'!U61),'县级总表2025'!U61,"")</x:f>
        <x:v>29571.25</x:v>
      </x:c>
      <x:c r="H61" s="14" t="n">
        <x:f>IF(ISNUMBER('县级总表2025'!V61),'县级总表2025'!V61,"")</x:f>
        <x:v>16218.5</x:v>
      </x:c>
      <x:c r="I61" s="14" t="n">
        <x:f>IF(ISNUMBER('县级总表2025'!W61),'县级总表2025'!W61,"")</x:f>
        <x:v>7910.83</x:v>
      </x:c>
      <x:c r="J61" s="14" t="n">
        <x:f>IF(COUNT(G61:I61)=3,SUM(G61:I61),"")</x:f>
        <x:v>53700.58</x:v>
      </x:c>
      <x:c r="K61" s="22" t="n">
        <x:f>IF(AND(ISNUMBER(J61),J61&gt;0),H61/J61,"")</x:f>
        <x:v>0.30201722216035654</x:v>
      </x:c>
      <x:c r="L61" s="23" t="n">
        <x:f>IF(COUNT(D61:F61)=3,SUM(D61:F61),"")</x:f>
        <x:v>41148</x:v>
      </x:c>
      <x:c r="M61" s="22" t="n">
        <x:f>IF(AND(ISNUMBER(L61),L61&gt;0),E61/L61,"")</x:f>
        <x:v>0.060950714494021584</x:v>
      </x:c>
      <x:c r="N61" s="26" t="n">
        <x:f>IF(AND(ISNUMBER(D61),D61&gt;0,ISNUMBER(G61)),G61*10000/(D61*12),"")</x:f>
        <x:v>2185.9938200419883</x:v>
      </x:c>
      <x:c r="O61" s="26" t="n">
        <x:f>IF(AND(ISNUMBER(E61),E61&gt;0,ISNUMBER(H61)),H61*10000/(E61*12),"")</x:f>
        <x:v>5388.9221158958</x:v>
      </x:c>
      <x:c r="P61" s="26" t="n">
        <x:f>IF(AND(ISNUMBER(F61),F61&gt;0,ISNUMBER(I61)),I61*10000/(F61*12),"")</x:f>
        <x:v>240.8871390117051</x:v>
      </x:c>
      <x:c r="Q61" s="27" t="n">
        <x:f>IF(AND(ISNUMBER(N61),N61&gt;0,ISNUMBER(O61)),O61/N61,"")</x:f>
        <x:v>2.465204643530186</x:v>
      </x:c>
      <x:c r="R61" s="27" t="n">
        <x:f>IF(AND(ISNUMBER(P61),P61&gt;0,ISNUMBER(O61)),O61/P61,"")</x:f>
        <x:v>22.371149153105858</x:v>
      </x:c>
      <x:c r="S61" t="str">
        <x:f>IF(COUNT(G61:I61)=3,"完整","缺项")</x:f>
        <x:v>完整</x:v>
      </x:c>
      <x:c r="T61" t="str">
        <x:f>IF(COUNT(D61:F61)=3,"完整","缺项")</x:f>
        <x:v>完整</x:v>
      </x:c>
      <x:c r="U61" t="str">
        <x:v>https://tjgb.hongheiku.com/xjtjgb/xj2020/73609.html</x:v>
      </x:c>
      <x:c r="V61" t="str">
        <x:v>三类参保人数与待遇人数均有公布；按年发放额及年末人数估算人均月待遇。</x:v>
      </x:c>
    </x:row>
    <x:row r="62" ht="21" customHeight="1">
      <x:c r="A62" t="str">
        <x:f>'县级总表2025'!A62</x:f>
        <x:v>吉安市</x:v>
      </x:c>
      <x:c r="B62" t="str">
        <x:f>'县级总表2025'!B62</x:f>
        <x:v>新干县</x:v>
      </x:c>
      <x:c r="C62" t="str">
        <x:f>'县级总表2025'!C62</x:f>
        <x:v>县</x:v>
      </x:c>
      <x:c r="D62" s="14" t="str">
        <x:f>IF(ISNUMBER('县级总表2025'!R62),'县级总表2025'!R62,"")</x:f>
      </x:c>
      <x:c r="E62" s="14" t="str">
        <x:f>IF(ISNUMBER('县级总表2025'!S62),'县级总表2025'!S62,"")</x:f>
      </x:c>
      <x:c r="F62" s="14" t="str">
        <x:f>IF(ISNUMBER('县级总表2025'!T62),'县级总表2025'!T62,"")</x:f>
      </x:c>
      <x:c r="G62" s="14" t="str">
        <x:f>IF(ISNUMBER('县级总表2025'!U62),'县级总表2025'!U62,"")</x:f>
      </x:c>
      <x:c r="H62" s="14" t="str">
        <x:f>IF(ISNUMBER('县级总表2025'!V62),'县级总表2025'!V62,"")</x:f>
      </x:c>
      <x:c r="I62" s="14" t="str">
        <x:f>IF(ISNUMBER('县级总表2025'!W62),'县级总表2025'!W62,"")</x:f>
      </x:c>
      <x:c r="J62" s="14" t="str">
        <x:f>IF(COUNT(G62:I62)=3,SUM(G62:I62),"")</x:f>
      </x:c>
      <x:c r="K62" s="22" t="str">
        <x:f>IF(AND(ISNUMBER(J62),J62&gt;0),H62/J62,"")</x:f>
      </x:c>
      <x:c r="L62" s="23" t="str">
        <x:f>IF(COUNT(D62:F62)=3,SUM(D62:F62),"")</x:f>
      </x:c>
      <x:c r="M62" s="22" t="str">
        <x:f>IF(AND(ISNUMBER(L62),L62&gt;0),E62/L62,"")</x:f>
      </x:c>
      <x:c r="N62" s="26" t="str">
        <x:f>IF(AND(ISNUMBER(D62),D62&gt;0,ISNUMBER(G62)),G62*10000/(D62*12),"")</x:f>
      </x:c>
      <x:c r="O62" s="26" t="str">
        <x:f>IF(AND(ISNUMBER(E62),E62&gt;0,ISNUMBER(H62)),H62*10000/(E62*12),"")</x:f>
      </x:c>
      <x:c r="P62" s="26" t="str">
        <x:f>IF(AND(ISNUMBER(F62),F62&gt;0,ISNUMBER(I62)),I62*10000/(F62*12),"")</x:f>
      </x:c>
      <x:c r="Q62" s="27" t="str">
        <x:f>IF(AND(ISNUMBER(N62),N62&gt;0,ISNUMBER(O62)),O62/N62,"")</x:f>
      </x:c>
      <x:c r="R62" s="27" t="str">
        <x:f>IF(AND(ISNUMBER(P62),P62&gt;0,ISNUMBER(O62)),O62/P62,"")</x:f>
      </x:c>
      <x:c r="S62" t="str">
        <x:f>IF(COUNT(G62:I62)=3,"完整","缺项")</x:f>
        <x:v>缺项</x:v>
      </x:c>
      <x:c r="T62" t="str">
        <x:f>IF(COUNT(D62:F62)=3,"完整","缺项")</x:f>
        <x:v>缺项</x:v>
      </x:c>
      <x:c r="U62" t="str"/>
      <x:c r="V62" t="str">
        <x:v>未查到三类完整退休待遇；不可将参保人数替代退休人数。</x:v>
      </x:c>
    </x:row>
    <x:row r="63" ht="21" customHeight="1">
      <x:c r="A63" t="str">
        <x:f>'县级总表2025'!A63</x:f>
        <x:v>吉安市</x:v>
      </x:c>
      <x:c r="B63" t="str">
        <x:f>'县级总表2025'!B63</x:f>
        <x:v>永丰县</x:v>
      </x:c>
      <x:c r="C63" t="str">
        <x:f>'县级总表2025'!C63</x:f>
        <x:v>县</x:v>
      </x:c>
      <x:c r="D63" s="14" t="n">
        <x:f>IF(ISNUMBER('县级总表2025'!R63),'县级总表2025'!R63,"")</x:f>
        <x:v>15100</x:v>
      </x:c>
      <x:c r="E63" s="14" t="n">
        <x:f>IF(ISNUMBER('县级总表2025'!S63),'县级总表2025'!S63,"")</x:f>
        <x:v>4500</x:v>
      </x:c>
      <x:c r="F63" s="14" t="n">
        <x:f>IF(ISNUMBER('县级总表2025'!T63),'县级总表2025'!T63,"")</x:f>
        <x:v>69200</x:v>
      </x:c>
      <x:c r="G63" s="14" t="str">
        <x:f>IF(ISNUMBER('县级总表2025'!U63),'县级总表2025'!U63,"")</x:f>
      </x:c>
      <x:c r="H63" s="14" t="str">
        <x:f>IF(ISNUMBER('县级总表2025'!V63),'县级总表2025'!V63,"")</x:f>
      </x:c>
      <x:c r="I63" s="14" t="str">
        <x:f>IF(ISNUMBER('县级总表2025'!W63),'县级总表2025'!W63,"")</x:f>
      </x:c>
      <x:c r="J63" s="14" t="str">
        <x:f>IF(COUNT(G63:I63)=3,SUM(G63:I63),"")</x:f>
      </x:c>
      <x:c r="K63" s="22" t="str">
        <x:f>IF(AND(ISNUMBER(J63),J63&gt;0),H63/J63,"")</x:f>
      </x:c>
      <x:c r="L63" s="23" t="n">
        <x:f>IF(COUNT(D63:F63)=3,SUM(D63:F63),"")</x:f>
        <x:v>88800</x:v>
      </x:c>
      <x:c r="M63" s="22" t="n">
        <x:f>IF(AND(ISNUMBER(L63),L63&gt;0),E63/L63,"")</x:f>
        <x:v>0.05067567567567568</x:v>
      </x:c>
      <x:c r="N63" s="26" t="str">
        <x:f>IF(AND(ISNUMBER(D63),D63&gt;0,ISNUMBER(G63)),G63*10000/(D63*12),"")</x:f>
      </x:c>
      <x:c r="O63" s="26" t="str">
        <x:f>IF(AND(ISNUMBER(E63),E63&gt;0,ISNUMBER(H63)),H63*10000/(E63*12),"")</x:f>
      </x:c>
      <x:c r="P63" s="26" t="str">
        <x:f>IF(AND(ISNUMBER(F63),F63&gt;0,ISNUMBER(I63)),I63*10000/(F63*12),"")</x:f>
      </x:c>
      <x:c r="Q63" s="27" t="str">
        <x:f>IF(AND(ISNUMBER(N63),N63&gt;0,ISNUMBER(O63)),O63/N63,"")</x:f>
      </x:c>
      <x:c r="R63" s="27" t="str">
        <x:f>IF(AND(ISNUMBER(P63),P63&gt;0,ISNUMBER(O63)),O63/P63,"")</x:f>
      </x:c>
      <x:c r="S63" t="str">
        <x:f>IF(COUNT(G63:I63)=3,"完整","缺项")</x:f>
        <x:v>缺项</x:v>
      </x:c>
      <x:c r="T63" t="str">
        <x:f>IF(COUNT(D63:F63)=3,"完整","缺项")</x:f>
        <x:v>完整</x:v>
      </x:c>
      <x:c r="U63" t="str">
        <x:v>https://maptable.com/tjgb/2025/%E5%90%89%E5%AE%89%E5%B8%82/%E6%B0%B8%E4%B8%B0%E5%8E%BF/report/ji-an-shi-yong-feng-xian-2025-nian-guo-min-jing-ji-he-she-hui-fa-zhan-tong-ji-gong-bao-2</x:v>
      </x:c>
      <x:c r="V63" t="str">
        <x:v>企业职工养老参保5.78万为公报所述在职职工人数，并非含退休人员总参保；离退休人员单列。机关参保1.49万。</x:v>
      </x:c>
    </x:row>
    <x:row r="64" ht="21" customHeight="1">
      <x:c r="A64" t="str">
        <x:f>'县级总表2025'!A64</x:f>
        <x:v>吉安市</x:v>
      </x:c>
      <x:c r="B64" t="str">
        <x:f>'县级总表2025'!B64</x:f>
        <x:v>泰和县</x:v>
      </x:c>
      <x:c r="C64" t="str">
        <x:f>'县级总表2025'!C64</x:f>
        <x:v>县</x:v>
      </x:c>
      <x:c r="D64" s="14" t="str">
        <x:f>IF(ISNUMBER('县级总表2025'!R64),'县级总表2025'!R64,"")</x:f>
      </x:c>
      <x:c r="E64" s="14" t="str">
        <x:f>IF(ISNUMBER('县级总表2025'!S64),'县级总表2025'!S64,"")</x:f>
      </x:c>
      <x:c r="F64" s="14" t="str">
        <x:f>IF(ISNUMBER('县级总表2025'!T64),'县级总表2025'!T64,"")</x:f>
      </x:c>
      <x:c r="G64" s="14" t="str">
        <x:f>IF(ISNUMBER('县级总表2025'!U64),'县级总表2025'!U64,"")</x:f>
      </x:c>
      <x:c r="H64" s="14" t="str">
        <x:f>IF(ISNUMBER('县级总表2025'!V64),'县级总表2025'!V64,"")</x:f>
      </x:c>
      <x:c r="I64" s="14" t="str">
        <x:f>IF(ISNUMBER('县级总表2025'!W64),'县级总表2025'!W64,"")</x:f>
      </x:c>
      <x:c r="J64" s="14" t="str">
        <x:f>IF(COUNT(G64:I64)=3,SUM(G64:I64),"")</x:f>
      </x:c>
      <x:c r="K64" s="22" t="str">
        <x:f>IF(AND(ISNUMBER(J64),J64&gt;0),H64/J64,"")</x:f>
      </x:c>
      <x:c r="L64" s="23" t="str">
        <x:f>IF(COUNT(D64:F64)=3,SUM(D64:F64),"")</x:f>
      </x:c>
      <x:c r="M64" s="22" t="str">
        <x:f>IF(AND(ISNUMBER(L64),L64&gt;0),E64/L64,"")</x:f>
      </x:c>
      <x:c r="N64" s="26" t="str">
        <x:f>IF(AND(ISNUMBER(D64),D64&gt;0,ISNUMBER(G64)),G64*10000/(D64*12),"")</x:f>
      </x:c>
      <x:c r="O64" s="26" t="str">
        <x:f>IF(AND(ISNUMBER(E64),E64&gt;0,ISNUMBER(H64)),H64*10000/(E64*12),"")</x:f>
      </x:c>
      <x:c r="P64" s="26" t="str">
        <x:f>IF(AND(ISNUMBER(F64),F64&gt;0,ISNUMBER(I64)),I64*10000/(F64*12),"")</x:f>
      </x:c>
      <x:c r="Q64" s="27" t="str">
        <x:f>IF(AND(ISNUMBER(N64),N64&gt;0,ISNUMBER(O64)),O64/N64,"")</x:f>
      </x:c>
      <x:c r="R64" s="27" t="str">
        <x:f>IF(AND(ISNUMBER(P64),P64&gt;0,ISNUMBER(O64)),O64/P64,"")</x:f>
      </x:c>
      <x:c r="S64" t="str">
        <x:f>IF(COUNT(G64:I64)=3,"完整","缺项")</x:f>
        <x:v>缺项</x:v>
      </x:c>
      <x:c r="T64" t="str">
        <x:f>IF(COUNT(D64:F64)=3,"完整","缺项")</x:f>
        <x:v>缺项</x:v>
      </x:c>
      <x:c r="U64" t="str">
        <x:v>https://tjgb.hongheiku.com/xjtjgb/xj2020/70172.html</x:v>
      </x:c>
      <x:c r="V64" t="str"/>
    </x:row>
    <x:row r="65" ht="21" customHeight="1">
      <x:c r="A65" t="str">
        <x:f>'县级总表2025'!A65</x:f>
        <x:v>吉安市</x:v>
      </x:c>
      <x:c r="B65" t="str">
        <x:f>'县级总表2025'!B65</x:f>
        <x:v>遂川县</x:v>
      </x:c>
      <x:c r="C65" t="str">
        <x:f>'县级总表2025'!C65</x:f>
        <x:v>县</x:v>
      </x:c>
      <x:c r="D65" s="14" t="str">
        <x:f>IF(ISNUMBER('县级总表2025'!R65),'县级总表2025'!R65,"")</x:f>
      </x:c>
      <x:c r="E65" s="14" t="str">
        <x:f>IF(ISNUMBER('县级总表2025'!S65),'县级总表2025'!S65,"")</x:f>
      </x:c>
      <x:c r="F65" s="14" t="str">
        <x:f>IF(ISNUMBER('县级总表2025'!T65),'县级总表2025'!T65,"")</x:f>
      </x:c>
      <x:c r="G65" s="14" t="str">
        <x:f>IF(ISNUMBER('县级总表2025'!U65),'县级总表2025'!U65,"")</x:f>
      </x:c>
      <x:c r="H65" s="14" t="str">
        <x:f>IF(ISNUMBER('县级总表2025'!V65),'县级总表2025'!V65,"")</x:f>
      </x:c>
      <x:c r="I65" s="14" t="str">
        <x:f>IF(ISNUMBER('县级总表2025'!W65),'县级总表2025'!W65,"")</x:f>
      </x:c>
      <x:c r="J65" s="14" t="str">
        <x:f>IF(COUNT(G65:I65)=3,SUM(G65:I65),"")</x:f>
      </x:c>
      <x:c r="K65" s="22" t="str">
        <x:f>IF(AND(ISNUMBER(J65),J65&gt;0),H65/J65,"")</x:f>
      </x:c>
      <x:c r="L65" s="23" t="str">
        <x:f>IF(COUNT(D65:F65)=3,SUM(D65:F65),"")</x:f>
      </x:c>
      <x:c r="M65" s="22" t="str">
        <x:f>IF(AND(ISNUMBER(L65),L65&gt;0),E65/L65,"")</x:f>
      </x:c>
      <x:c r="N65" s="26" t="str">
        <x:f>IF(AND(ISNUMBER(D65),D65&gt;0,ISNUMBER(G65)),G65*10000/(D65*12),"")</x:f>
      </x:c>
      <x:c r="O65" s="26" t="str">
        <x:f>IF(AND(ISNUMBER(E65),E65&gt;0,ISNUMBER(H65)),H65*10000/(E65*12),"")</x:f>
      </x:c>
      <x:c r="P65" s="26" t="str">
        <x:f>IF(AND(ISNUMBER(F65),F65&gt;0,ISNUMBER(I65)),I65*10000/(F65*12),"")</x:f>
      </x:c>
      <x:c r="Q65" s="27" t="str">
        <x:f>IF(AND(ISNUMBER(N65),N65&gt;0,ISNUMBER(O65)),O65/N65,"")</x:f>
      </x:c>
      <x:c r="R65" s="27" t="str">
        <x:f>IF(AND(ISNUMBER(P65),P65&gt;0,ISNUMBER(O65)),O65/P65,"")</x:f>
      </x:c>
      <x:c r="S65" t="str">
        <x:f>IF(COUNT(G65:I65)=3,"完整","缺项")</x:f>
        <x:v>缺项</x:v>
      </x:c>
      <x:c r="T65" t="str">
        <x:f>IF(COUNT(D65:F65)=3,"完整","缺项")</x:f>
        <x:v>缺项</x:v>
      </x:c>
      <x:c r="U65" t="str"/>
      <x:c r="V65" t="str">
        <x:v>未查到三类完整退休待遇；不可将参保人数替代退休人数。</x:v>
      </x:c>
    </x:row>
    <x:row r="66" ht="21" customHeight="1">
      <x:c r="A66" t="str">
        <x:f>'县级总表2025'!A66</x:f>
        <x:v>吉安市</x:v>
      </x:c>
      <x:c r="B66" t="str">
        <x:f>'县级总表2025'!B66</x:f>
        <x:v>万安县</x:v>
      </x:c>
      <x:c r="C66" t="str">
        <x:f>'县级总表2025'!C66</x:f>
        <x:v>县</x:v>
      </x:c>
      <x:c r="D66" s="14" t="str">
        <x:f>IF(ISNUMBER('县级总表2025'!R66),'县级总表2025'!R66,"")</x:f>
      </x:c>
      <x:c r="E66" s="14" t="str">
        <x:f>IF(ISNUMBER('县级总表2025'!S66),'县级总表2025'!S66,"")</x:f>
      </x:c>
      <x:c r="F66" s="14" t="str">
        <x:f>IF(ISNUMBER('县级总表2025'!T66),'县级总表2025'!T66,"")</x:f>
      </x:c>
      <x:c r="G66" s="14" t="str">
        <x:f>IF(ISNUMBER('县级总表2025'!U66),'县级总表2025'!U66,"")</x:f>
      </x:c>
      <x:c r="H66" s="14" t="str">
        <x:f>IF(ISNUMBER('县级总表2025'!V66),'县级总表2025'!V66,"")</x:f>
      </x:c>
      <x:c r="I66" s="14" t="str">
        <x:f>IF(ISNUMBER('县级总表2025'!W66),'县级总表2025'!W66,"")</x:f>
      </x:c>
      <x:c r="J66" s="14" t="str">
        <x:f>IF(COUNT(G66:I66)=3,SUM(G66:I66),"")</x:f>
      </x:c>
      <x:c r="K66" s="22" t="str">
        <x:f>IF(AND(ISNUMBER(J66),J66&gt;0),H66/J66,"")</x:f>
      </x:c>
      <x:c r="L66" s="23" t="str">
        <x:f>IF(COUNT(D66:F66)=3,SUM(D66:F66),"")</x:f>
      </x:c>
      <x:c r="M66" s="22" t="str">
        <x:f>IF(AND(ISNUMBER(L66),L66&gt;0),E66/L66,"")</x:f>
      </x:c>
      <x:c r="N66" s="26" t="str">
        <x:f>IF(AND(ISNUMBER(D66),D66&gt;0,ISNUMBER(G66)),G66*10000/(D66*12),"")</x:f>
      </x:c>
      <x:c r="O66" s="26" t="str">
        <x:f>IF(AND(ISNUMBER(E66),E66&gt;0,ISNUMBER(H66)),H66*10000/(E66*12),"")</x:f>
      </x:c>
      <x:c r="P66" s="26" t="str">
        <x:f>IF(AND(ISNUMBER(F66),F66&gt;0,ISNUMBER(I66)),I66*10000/(F66*12),"")</x:f>
      </x:c>
      <x:c r="Q66" s="27" t="str">
        <x:f>IF(AND(ISNUMBER(N66),N66&gt;0,ISNUMBER(O66)),O66/N66,"")</x:f>
      </x:c>
      <x:c r="R66" s="27" t="str">
        <x:f>IF(AND(ISNUMBER(P66),P66&gt;0,ISNUMBER(O66)),O66/P66,"")</x:f>
      </x:c>
      <x:c r="S66" t="str">
        <x:f>IF(COUNT(G66:I66)=3,"完整","缺项")</x:f>
        <x:v>缺项</x:v>
      </x:c>
      <x:c r="T66" t="str">
        <x:f>IF(COUNT(D66:F66)=3,"完整","缺项")</x:f>
        <x:v>缺项</x:v>
      </x:c>
      <x:c r="U66" t="str"/>
      <x:c r="V66" t="str">
        <x:v>未查到三类完整退休待遇；不可将参保人数替代退休人数。</x:v>
      </x:c>
    </x:row>
    <x:row r="67" ht="21" customHeight="1">
      <x:c r="A67" t="str">
        <x:f>'县级总表2025'!A67</x:f>
        <x:v>吉安市</x:v>
      </x:c>
      <x:c r="B67" t="str">
        <x:f>'县级总表2025'!B67</x:f>
        <x:v>安福县</x:v>
      </x:c>
      <x:c r="C67" t="str">
        <x:f>'县级总表2025'!C67</x:f>
        <x:v>县</x:v>
      </x:c>
      <x:c r="D67" s="14" t="str">
        <x:f>IF(ISNUMBER('县级总表2025'!R67),'县级总表2025'!R67,"")</x:f>
      </x:c>
      <x:c r="E67" s="14" t="str">
        <x:f>IF(ISNUMBER('县级总表2025'!S67),'县级总表2025'!S67,"")</x:f>
      </x:c>
      <x:c r="F67" s="14" t="str">
        <x:f>IF(ISNUMBER('县级总表2025'!T67),'县级总表2025'!T67,"")</x:f>
      </x:c>
      <x:c r="G67" s="14" t="str">
        <x:f>IF(ISNUMBER('县级总表2025'!U67),'县级总表2025'!U67,"")</x:f>
      </x:c>
      <x:c r="H67" s="14" t="str">
        <x:f>IF(ISNUMBER('县级总表2025'!V67),'县级总表2025'!V67,"")</x:f>
      </x:c>
      <x:c r="I67" s="14" t="str">
        <x:f>IF(ISNUMBER('县级总表2025'!W67),'县级总表2025'!W67,"")</x:f>
      </x:c>
      <x:c r="J67" s="14" t="str">
        <x:f>IF(COUNT(G67:I67)=3,SUM(G67:I67),"")</x:f>
      </x:c>
      <x:c r="K67" s="22" t="str">
        <x:f>IF(AND(ISNUMBER(J67),J67&gt;0),H67/J67,"")</x:f>
      </x:c>
      <x:c r="L67" s="23" t="str">
        <x:f>IF(COUNT(D67:F67)=3,SUM(D67:F67),"")</x:f>
      </x:c>
      <x:c r="M67" s="22" t="str">
        <x:f>IF(AND(ISNUMBER(L67),L67&gt;0),E67/L67,"")</x:f>
      </x:c>
      <x:c r="N67" s="26" t="str">
        <x:f>IF(AND(ISNUMBER(D67),D67&gt;0,ISNUMBER(G67)),G67*10000/(D67*12),"")</x:f>
      </x:c>
      <x:c r="O67" s="26" t="str">
        <x:f>IF(AND(ISNUMBER(E67),E67&gt;0,ISNUMBER(H67)),H67*10000/(E67*12),"")</x:f>
      </x:c>
      <x:c r="P67" s="26" t="str">
        <x:f>IF(AND(ISNUMBER(F67),F67&gt;0,ISNUMBER(I67)),I67*10000/(F67*12),"")</x:f>
      </x:c>
      <x:c r="Q67" s="27" t="str">
        <x:f>IF(AND(ISNUMBER(N67),N67&gt;0,ISNUMBER(O67)),O67/N67,"")</x:f>
      </x:c>
      <x:c r="R67" s="27" t="str">
        <x:f>IF(AND(ISNUMBER(P67),P67&gt;0,ISNUMBER(O67)),O67/P67,"")</x:f>
      </x:c>
      <x:c r="S67" t="str">
        <x:f>IF(COUNT(G67:I67)=3,"完整","缺项")</x:f>
        <x:v>缺项</x:v>
      </x:c>
      <x:c r="T67" t="str">
        <x:f>IF(COUNT(D67:F67)=3,"完整","缺项")</x:f>
        <x:v>缺项</x:v>
      </x:c>
      <x:c r="U67" t="str"/>
      <x:c r="V67" t="str">
        <x:v>未查到三类完整退休待遇；不可将参保人数替代退休人数。</x:v>
      </x:c>
    </x:row>
    <x:row r="68" ht="21" customHeight="1">
      <x:c r="A68" t="str">
        <x:f>'县级总表2025'!A68</x:f>
        <x:v>吉安市</x:v>
      </x:c>
      <x:c r="B68" t="str">
        <x:f>'县级总表2025'!B68</x:f>
        <x:v>永新县</x:v>
      </x:c>
      <x:c r="C68" t="str">
        <x:f>'县级总表2025'!C68</x:f>
        <x:v>县</x:v>
      </x:c>
      <x:c r="D68" s="14" t="str">
        <x:f>IF(ISNUMBER('县级总表2025'!R68),'县级总表2025'!R68,"")</x:f>
      </x:c>
      <x:c r="E68" s="14" t="str">
        <x:f>IF(ISNUMBER('县级总表2025'!S68),'县级总表2025'!S68,"")</x:f>
      </x:c>
      <x:c r="F68" s="14" t="str">
        <x:f>IF(ISNUMBER('县级总表2025'!T68),'县级总表2025'!T68,"")</x:f>
      </x:c>
      <x:c r="G68" s="14" t="str">
        <x:f>IF(ISNUMBER('县级总表2025'!U68),'县级总表2025'!U68,"")</x:f>
      </x:c>
      <x:c r="H68" s="14" t="str">
        <x:f>IF(ISNUMBER('县级总表2025'!V68),'县级总表2025'!V68,"")</x:f>
      </x:c>
      <x:c r="I68" s="14" t="str">
        <x:f>IF(ISNUMBER('县级总表2025'!W68),'县级总表2025'!W68,"")</x:f>
      </x:c>
      <x:c r="J68" s="14" t="str">
        <x:f>IF(COUNT(G68:I68)=3,SUM(G68:I68),"")</x:f>
      </x:c>
      <x:c r="K68" s="22" t="str">
        <x:f>IF(AND(ISNUMBER(J68),J68&gt;0),H68/J68,"")</x:f>
      </x:c>
      <x:c r="L68" s="23" t="str">
        <x:f>IF(COUNT(D68:F68)=3,SUM(D68:F68),"")</x:f>
      </x:c>
      <x:c r="M68" s="22" t="str">
        <x:f>IF(AND(ISNUMBER(L68),L68&gt;0),E68/L68,"")</x:f>
      </x:c>
      <x:c r="N68" s="26" t="str">
        <x:f>IF(AND(ISNUMBER(D68),D68&gt;0,ISNUMBER(G68)),G68*10000/(D68*12),"")</x:f>
      </x:c>
      <x:c r="O68" s="26" t="str">
        <x:f>IF(AND(ISNUMBER(E68),E68&gt;0,ISNUMBER(H68)),H68*10000/(E68*12),"")</x:f>
      </x:c>
      <x:c r="P68" s="26" t="str">
        <x:f>IF(AND(ISNUMBER(F68),F68&gt;0,ISNUMBER(I68)),I68*10000/(F68*12),"")</x:f>
      </x:c>
      <x:c r="Q68" s="27" t="str">
        <x:f>IF(AND(ISNUMBER(N68),N68&gt;0,ISNUMBER(O68)),O68/N68,"")</x:f>
      </x:c>
      <x:c r="R68" s="27" t="str">
        <x:f>IF(AND(ISNUMBER(P68),P68&gt;0,ISNUMBER(O68)),O68/P68,"")</x:f>
      </x:c>
      <x:c r="S68" t="str">
        <x:f>IF(COUNT(G68:I68)=3,"完整","缺项")</x:f>
        <x:v>缺项</x:v>
      </x:c>
      <x:c r="T68" t="str">
        <x:f>IF(COUNT(D68:F68)=3,"完整","缺项")</x:f>
        <x:v>缺项</x:v>
      </x:c>
      <x:c r="U68" t="str"/>
      <x:c r="V68" t="str">
        <x:v>未查到三类完整退休待遇；不可将参保人数替代退休人数。</x:v>
      </x:c>
    </x:row>
    <x:row r="69" ht="21" customHeight="1">
      <x:c r="A69" t="str">
        <x:f>'县级总表2025'!A69</x:f>
        <x:v>宜春市</x:v>
      </x:c>
      <x:c r="B69" t="str">
        <x:f>'县级总表2025'!B69</x:f>
        <x:v>袁州区</x:v>
      </x:c>
      <x:c r="C69" t="str">
        <x:f>'县级总表2025'!C69</x:f>
        <x:v>区</x:v>
      </x:c>
      <x:c r="D69" s="14" t="str">
        <x:f>IF(ISNUMBER('县级总表2025'!R69),'县级总表2025'!R69,"")</x:f>
      </x:c>
      <x:c r="E69" s="14" t="str">
        <x:f>IF(ISNUMBER('县级总表2025'!S69),'县级总表2025'!S69,"")</x:f>
      </x:c>
      <x:c r="F69" s="14" t="str">
        <x:f>IF(ISNUMBER('县级总表2025'!T69),'县级总表2025'!T69,"")</x:f>
      </x:c>
      <x:c r="G69" s="14" t="str">
        <x:f>IF(ISNUMBER('县级总表2025'!U69),'县级总表2025'!U69,"")</x:f>
      </x:c>
      <x:c r="H69" s="14" t="str">
        <x:f>IF(ISNUMBER('县级总表2025'!V69),'县级总表2025'!V69,"")</x:f>
      </x:c>
      <x:c r="I69" s="14" t="str">
        <x:f>IF(ISNUMBER('县级总表2025'!W69),'县级总表2025'!W69,"")</x:f>
      </x:c>
      <x:c r="J69" s="14" t="str">
        <x:f>IF(COUNT(G69:I69)=3,SUM(G69:I69),"")</x:f>
      </x:c>
      <x:c r="K69" s="22" t="str">
        <x:f>IF(AND(ISNUMBER(J69),J69&gt;0),H69/J69,"")</x:f>
      </x:c>
      <x:c r="L69" s="23" t="str">
        <x:f>IF(COUNT(D69:F69)=3,SUM(D69:F69),"")</x:f>
      </x:c>
      <x:c r="M69" s="22" t="str">
        <x:f>IF(AND(ISNUMBER(L69),L69&gt;0),E69/L69,"")</x:f>
      </x:c>
      <x:c r="N69" s="26" t="str">
        <x:f>IF(AND(ISNUMBER(D69),D69&gt;0,ISNUMBER(G69)),G69*10000/(D69*12),"")</x:f>
      </x:c>
      <x:c r="O69" s="26" t="str">
        <x:f>IF(AND(ISNUMBER(E69),E69&gt;0,ISNUMBER(H69)),H69*10000/(E69*12),"")</x:f>
      </x:c>
      <x:c r="P69" s="26" t="str">
        <x:f>IF(AND(ISNUMBER(F69),F69&gt;0,ISNUMBER(I69)),I69*10000/(F69*12),"")</x:f>
      </x:c>
      <x:c r="Q69" s="27" t="str">
        <x:f>IF(AND(ISNUMBER(N69),N69&gt;0,ISNUMBER(O69)),O69/N69,"")</x:f>
      </x:c>
      <x:c r="R69" s="27" t="str">
        <x:f>IF(AND(ISNUMBER(P69),P69&gt;0,ISNUMBER(O69)),O69/P69,"")</x:f>
      </x:c>
      <x:c r="S69" t="str">
        <x:f>IF(COUNT(G69:I69)=3,"完整","缺项")</x:f>
        <x:v>缺项</x:v>
      </x:c>
      <x:c r="T69" t="str">
        <x:f>IF(COUNT(D69:F69)=3,"完整","缺项")</x:f>
        <x:v>缺项</x:v>
      </x:c>
      <x:c r="U69" t="str"/>
      <x:c r="V69" t="str">
        <x:v>未查到三类完整退休待遇；不可将参保人数替代退休人数。</x:v>
      </x:c>
    </x:row>
    <x:row r="70" ht="21" customHeight="1">
      <x:c r="A70" t="str">
        <x:f>'县级总表2025'!A70</x:f>
        <x:v>宜春市</x:v>
      </x:c>
      <x:c r="B70" t="str">
        <x:f>'县级总表2025'!B70</x:f>
        <x:v>丰城市</x:v>
      </x:c>
      <x:c r="C70" t="str">
        <x:f>'县级总表2025'!C70</x:f>
        <x:v>县级市</x:v>
      </x:c>
      <x:c r="D70" s="14" t="str">
        <x:f>IF(ISNUMBER('县级总表2025'!R70),'县级总表2025'!R70,"")</x:f>
      </x:c>
      <x:c r="E70" s="14" t="str">
        <x:f>IF(ISNUMBER('县级总表2025'!S70),'县级总表2025'!S70,"")</x:f>
      </x:c>
      <x:c r="F70" s="14" t="str">
        <x:f>IF(ISNUMBER('县级总表2025'!T70),'县级总表2025'!T70,"")</x:f>
      </x:c>
      <x:c r="G70" s="14" t="str">
        <x:f>IF(ISNUMBER('县级总表2025'!U70),'县级总表2025'!U70,"")</x:f>
      </x:c>
      <x:c r="H70" s="14" t="str">
        <x:f>IF(ISNUMBER('县级总表2025'!V70),'县级总表2025'!V70,"")</x:f>
      </x:c>
      <x:c r="I70" s="14" t="str">
        <x:f>IF(ISNUMBER('县级总表2025'!W70),'县级总表2025'!W70,"")</x:f>
      </x:c>
      <x:c r="J70" s="14" t="str">
        <x:f>IF(COUNT(G70:I70)=3,SUM(G70:I70),"")</x:f>
      </x:c>
      <x:c r="K70" s="22" t="str">
        <x:f>IF(AND(ISNUMBER(J70),J70&gt;0),H70/J70,"")</x:f>
      </x:c>
      <x:c r="L70" s="23" t="str">
        <x:f>IF(COUNT(D70:F70)=3,SUM(D70:F70),"")</x:f>
      </x:c>
      <x:c r="M70" s="22" t="str">
        <x:f>IF(AND(ISNUMBER(L70),L70&gt;0),E70/L70,"")</x:f>
      </x:c>
      <x:c r="N70" s="26" t="str">
        <x:f>IF(AND(ISNUMBER(D70),D70&gt;0,ISNUMBER(G70)),G70*10000/(D70*12),"")</x:f>
      </x:c>
      <x:c r="O70" s="26" t="str">
        <x:f>IF(AND(ISNUMBER(E70),E70&gt;0,ISNUMBER(H70)),H70*10000/(E70*12),"")</x:f>
      </x:c>
      <x:c r="P70" s="26" t="str">
        <x:f>IF(AND(ISNUMBER(F70),F70&gt;0,ISNUMBER(I70)),I70*10000/(F70*12),"")</x:f>
      </x:c>
      <x:c r="Q70" s="27" t="str">
        <x:f>IF(AND(ISNUMBER(N70),N70&gt;0,ISNUMBER(O70)),O70/N70,"")</x:f>
      </x:c>
      <x:c r="R70" s="27" t="str">
        <x:f>IF(AND(ISNUMBER(P70),P70&gt;0,ISNUMBER(O70)),O70/P70,"")</x:f>
      </x:c>
      <x:c r="S70" t="str">
        <x:f>IF(COUNT(G70:I70)=3,"完整","缺项")</x:f>
        <x:v>缺项</x:v>
      </x:c>
      <x:c r="T70" t="str">
        <x:f>IF(COUNT(D70:F70)=3,"完整","缺项")</x:f>
        <x:v>缺项</x:v>
      </x:c>
      <x:c r="U70" t="str"/>
      <x:c r="V70" t="str">
        <x:v>未查到三类完整退休待遇；不可将参保人数替代退休人数。</x:v>
      </x:c>
    </x:row>
    <x:row r="71" ht="21" customHeight="1">
      <x:c r="A71" t="str">
        <x:f>'县级总表2025'!A71</x:f>
        <x:v>宜春市</x:v>
      </x:c>
      <x:c r="B71" t="str">
        <x:f>'县级总表2025'!B71</x:f>
        <x:v>樟树市</x:v>
      </x:c>
      <x:c r="C71" t="str">
        <x:f>'县级总表2025'!C71</x:f>
        <x:v>县级市</x:v>
      </x:c>
      <x:c r="D71" s="14" t="str">
        <x:f>IF(ISNUMBER('县级总表2025'!R71),'县级总表2025'!R71,"")</x:f>
      </x:c>
      <x:c r="E71" s="14" t="str">
        <x:f>IF(ISNUMBER('县级总表2025'!S71),'县级总表2025'!S71,"")</x:f>
      </x:c>
      <x:c r="F71" s="14" t="str">
        <x:f>IF(ISNUMBER('县级总表2025'!T71),'县级总表2025'!T71,"")</x:f>
      </x:c>
      <x:c r="G71" s="14" t="str">
        <x:f>IF(ISNUMBER('县级总表2025'!U71),'县级总表2025'!U71,"")</x:f>
      </x:c>
      <x:c r="H71" s="14" t="str">
        <x:f>IF(ISNUMBER('县级总表2025'!V71),'县级总表2025'!V71,"")</x:f>
      </x:c>
      <x:c r="I71" s="14" t="str">
        <x:f>IF(ISNUMBER('县级总表2025'!W71),'县级总表2025'!W71,"")</x:f>
      </x:c>
      <x:c r="J71" s="14" t="str">
        <x:f>IF(COUNT(G71:I71)=3,SUM(G71:I71),"")</x:f>
      </x:c>
      <x:c r="K71" s="22" t="str">
        <x:f>IF(AND(ISNUMBER(J71),J71&gt;0),H71/J71,"")</x:f>
      </x:c>
      <x:c r="L71" s="23" t="str">
        <x:f>IF(COUNT(D71:F71)=3,SUM(D71:F71),"")</x:f>
      </x:c>
      <x:c r="M71" s="22" t="str">
        <x:f>IF(AND(ISNUMBER(L71),L71&gt;0),E71/L71,"")</x:f>
      </x:c>
      <x:c r="N71" s="26" t="str">
        <x:f>IF(AND(ISNUMBER(D71),D71&gt;0,ISNUMBER(G71)),G71*10000/(D71*12),"")</x:f>
      </x:c>
      <x:c r="O71" s="26" t="str">
        <x:f>IF(AND(ISNUMBER(E71),E71&gt;0,ISNUMBER(H71)),H71*10000/(E71*12),"")</x:f>
      </x:c>
      <x:c r="P71" s="26" t="str">
        <x:f>IF(AND(ISNUMBER(F71),F71&gt;0,ISNUMBER(I71)),I71*10000/(F71*12),"")</x:f>
      </x:c>
      <x:c r="Q71" s="27" t="str">
        <x:f>IF(AND(ISNUMBER(N71),N71&gt;0,ISNUMBER(O71)),O71/N71,"")</x:f>
      </x:c>
      <x:c r="R71" s="27" t="str">
        <x:f>IF(AND(ISNUMBER(P71),P71&gt;0,ISNUMBER(O71)),O71/P71,"")</x:f>
      </x:c>
      <x:c r="S71" t="str">
        <x:f>IF(COUNT(G71:I71)=3,"完整","缺项")</x:f>
        <x:v>缺项</x:v>
      </x:c>
      <x:c r="T71" t="str">
        <x:f>IF(COUNT(D71:F71)=3,"完整","缺项")</x:f>
        <x:v>缺项</x:v>
      </x:c>
      <x:c r="U71" t="str"/>
      <x:c r="V71" t="str">
        <x:v>未查到三类完整退休待遇；不可将参保人数替代退休人数。</x:v>
      </x:c>
    </x:row>
    <x:row r="72" ht="21" customHeight="1">
      <x:c r="A72" t="str">
        <x:f>'县级总表2025'!A72</x:f>
        <x:v>宜春市</x:v>
      </x:c>
      <x:c r="B72" t="str">
        <x:f>'县级总表2025'!B72</x:f>
        <x:v>高安市</x:v>
      </x:c>
      <x:c r="C72" t="str">
        <x:f>'县级总表2025'!C72</x:f>
        <x:v>县级市</x:v>
      </x:c>
      <x:c r="D72" s="14" t="str">
        <x:f>IF(ISNUMBER('县级总表2025'!R72),'县级总表2025'!R72,"")</x:f>
      </x:c>
      <x:c r="E72" s="14" t="str">
        <x:f>IF(ISNUMBER('县级总表2025'!S72),'县级总表2025'!S72,"")</x:f>
      </x:c>
      <x:c r="F72" s="14" t="str">
        <x:f>IF(ISNUMBER('县级总表2025'!T72),'县级总表2025'!T72,"")</x:f>
      </x:c>
      <x:c r="G72" s="14" t="str">
        <x:f>IF(ISNUMBER('县级总表2025'!U72),'县级总表2025'!U72,"")</x:f>
      </x:c>
      <x:c r="H72" s="14" t="str">
        <x:f>IF(ISNUMBER('县级总表2025'!V72),'县级总表2025'!V72,"")</x:f>
      </x:c>
      <x:c r="I72" s="14" t="str">
        <x:f>IF(ISNUMBER('县级总表2025'!W72),'县级总表2025'!W72,"")</x:f>
      </x:c>
      <x:c r="J72" s="14" t="str">
        <x:f>IF(COUNT(G72:I72)=3,SUM(G72:I72),"")</x:f>
      </x:c>
      <x:c r="K72" s="22" t="str">
        <x:f>IF(AND(ISNUMBER(J72),J72&gt;0),H72/J72,"")</x:f>
      </x:c>
      <x:c r="L72" s="23" t="str">
        <x:f>IF(COUNT(D72:F72)=3,SUM(D72:F72),"")</x:f>
      </x:c>
      <x:c r="M72" s="22" t="str">
        <x:f>IF(AND(ISNUMBER(L72),L72&gt;0),E72/L72,"")</x:f>
      </x:c>
      <x:c r="N72" s="26" t="str">
        <x:f>IF(AND(ISNUMBER(D72),D72&gt;0,ISNUMBER(G72)),G72*10000/(D72*12),"")</x:f>
      </x:c>
      <x:c r="O72" s="26" t="str">
        <x:f>IF(AND(ISNUMBER(E72),E72&gt;0,ISNUMBER(H72)),H72*10000/(E72*12),"")</x:f>
      </x:c>
      <x:c r="P72" s="26" t="str">
        <x:f>IF(AND(ISNUMBER(F72),F72&gt;0,ISNUMBER(I72)),I72*10000/(F72*12),"")</x:f>
      </x:c>
      <x:c r="Q72" s="27" t="str">
        <x:f>IF(AND(ISNUMBER(N72),N72&gt;0,ISNUMBER(O72)),O72/N72,"")</x:f>
      </x:c>
      <x:c r="R72" s="27" t="str">
        <x:f>IF(AND(ISNUMBER(P72),P72&gt;0,ISNUMBER(O72)),O72/P72,"")</x:f>
      </x:c>
      <x:c r="S72" t="str">
        <x:f>IF(COUNT(G72:I72)=3,"完整","缺项")</x:f>
        <x:v>缺项</x:v>
      </x:c>
      <x:c r="T72" t="str">
        <x:f>IF(COUNT(D72:F72)=3,"完整","缺项")</x:f>
        <x:v>缺项</x:v>
      </x:c>
      <x:c r="U72" t="str"/>
      <x:c r="V72" t="str">
        <x:v>未查到三类完整退休待遇；不可将参保人数替代退休人数。</x:v>
      </x:c>
    </x:row>
    <x:row r="73" ht="21" customHeight="1">
      <x:c r="A73" t="str">
        <x:f>'县级总表2025'!A73</x:f>
        <x:v>宜春市</x:v>
      </x:c>
      <x:c r="B73" t="str">
        <x:f>'县级总表2025'!B73</x:f>
        <x:v>奉新县</x:v>
      </x:c>
      <x:c r="C73" t="str">
        <x:f>'县级总表2025'!C73</x:f>
        <x:v>县</x:v>
      </x:c>
      <x:c r="D73" s="14" t="str">
        <x:f>IF(ISNUMBER('县级总表2025'!R73),'县级总表2025'!R73,"")</x:f>
      </x:c>
      <x:c r="E73" s="14" t="str">
        <x:f>IF(ISNUMBER('县级总表2025'!S73),'县级总表2025'!S73,"")</x:f>
      </x:c>
      <x:c r="F73" s="14" t="str">
        <x:f>IF(ISNUMBER('县级总表2025'!T73),'县级总表2025'!T73,"")</x:f>
      </x:c>
      <x:c r="G73" s="14" t="str">
        <x:f>IF(ISNUMBER('县级总表2025'!U73),'县级总表2025'!U73,"")</x:f>
      </x:c>
      <x:c r="H73" s="14" t="str">
        <x:f>IF(ISNUMBER('县级总表2025'!V73),'县级总表2025'!V73,"")</x:f>
      </x:c>
      <x:c r="I73" s="14" t="str">
        <x:f>IF(ISNUMBER('县级总表2025'!W73),'县级总表2025'!W73,"")</x:f>
      </x:c>
      <x:c r="J73" s="14" t="str">
        <x:f>IF(COUNT(G73:I73)=3,SUM(G73:I73),"")</x:f>
      </x:c>
      <x:c r="K73" s="22" t="str">
        <x:f>IF(AND(ISNUMBER(J73),J73&gt;0),H73/J73,"")</x:f>
      </x:c>
      <x:c r="L73" s="23" t="str">
        <x:f>IF(COUNT(D73:F73)=3,SUM(D73:F73),"")</x:f>
      </x:c>
      <x:c r="M73" s="22" t="str">
        <x:f>IF(AND(ISNUMBER(L73),L73&gt;0),E73/L73,"")</x:f>
      </x:c>
      <x:c r="N73" s="26" t="str">
        <x:f>IF(AND(ISNUMBER(D73),D73&gt;0,ISNUMBER(G73)),G73*10000/(D73*12),"")</x:f>
      </x:c>
      <x:c r="O73" s="26" t="str">
        <x:f>IF(AND(ISNUMBER(E73),E73&gt;0,ISNUMBER(H73)),H73*10000/(E73*12),"")</x:f>
      </x:c>
      <x:c r="P73" s="26" t="str">
        <x:f>IF(AND(ISNUMBER(F73),F73&gt;0,ISNUMBER(I73)),I73*10000/(F73*12),"")</x:f>
      </x:c>
      <x:c r="Q73" s="27" t="str">
        <x:f>IF(AND(ISNUMBER(N73),N73&gt;0,ISNUMBER(O73)),O73/N73,"")</x:f>
      </x:c>
      <x:c r="R73" s="27" t="str">
        <x:f>IF(AND(ISNUMBER(P73),P73&gt;0,ISNUMBER(O73)),O73/P73,"")</x:f>
      </x:c>
      <x:c r="S73" t="str">
        <x:f>IF(COUNT(G73:I73)=3,"完整","缺项")</x:f>
        <x:v>缺项</x:v>
      </x:c>
      <x:c r="T73" t="str">
        <x:f>IF(COUNT(D73:F73)=3,"完整","缺项")</x:f>
        <x:v>缺项</x:v>
      </x:c>
      <x:c r="U73" t="str">
        <x:v>https://tjgb.hongheiku.com/xjtjgb/xj2020/79426.html</x:v>
      </x:c>
      <x:c r="V73" t="str">
        <x:v>GDP原报告单位万元，已换算为亿元（2742771万元=274.2771亿元）。</x:v>
      </x:c>
    </x:row>
    <x:row r="74" ht="21" customHeight="1">
      <x:c r="A74" t="str">
        <x:f>'县级总表2025'!A74</x:f>
        <x:v>宜春市</x:v>
      </x:c>
      <x:c r="B74" t="str">
        <x:f>'县级总表2025'!B74</x:f>
        <x:v>万载县</x:v>
      </x:c>
      <x:c r="C74" t="str">
        <x:f>'县级总表2025'!C74</x:f>
        <x:v>县</x:v>
      </x:c>
      <x:c r="D74" s="14" t="str">
        <x:f>IF(ISNUMBER('县级总表2025'!R74),'县级总表2025'!R74,"")</x:f>
      </x:c>
      <x:c r="E74" s="14" t="str">
        <x:f>IF(ISNUMBER('县级总表2025'!S74),'县级总表2025'!S74,"")</x:f>
      </x:c>
      <x:c r="F74" s="14" t="str">
        <x:f>IF(ISNUMBER('县级总表2025'!T74),'县级总表2025'!T74,"")</x:f>
      </x:c>
      <x:c r="G74" s="14" t="str">
        <x:f>IF(ISNUMBER('县级总表2025'!U74),'县级总表2025'!U74,"")</x:f>
      </x:c>
      <x:c r="H74" s="14" t="str">
        <x:f>IF(ISNUMBER('县级总表2025'!V74),'县级总表2025'!V74,"")</x:f>
      </x:c>
      <x:c r="I74" s="14" t="str">
        <x:f>IF(ISNUMBER('县级总表2025'!W74),'县级总表2025'!W74,"")</x:f>
      </x:c>
      <x:c r="J74" s="14" t="str">
        <x:f>IF(COUNT(G74:I74)=3,SUM(G74:I74),"")</x:f>
      </x:c>
      <x:c r="K74" s="22" t="str">
        <x:f>IF(AND(ISNUMBER(J74),J74&gt;0),H74/J74,"")</x:f>
      </x:c>
      <x:c r="L74" s="23" t="str">
        <x:f>IF(COUNT(D74:F74)=3,SUM(D74:F74),"")</x:f>
      </x:c>
      <x:c r="M74" s="22" t="str">
        <x:f>IF(AND(ISNUMBER(L74),L74&gt;0),E74/L74,"")</x:f>
      </x:c>
      <x:c r="N74" s="26" t="str">
        <x:f>IF(AND(ISNUMBER(D74),D74&gt;0,ISNUMBER(G74)),G74*10000/(D74*12),"")</x:f>
      </x:c>
      <x:c r="O74" s="26" t="str">
        <x:f>IF(AND(ISNUMBER(E74),E74&gt;0,ISNUMBER(H74)),H74*10000/(E74*12),"")</x:f>
      </x:c>
      <x:c r="P74" s="26" t="str">
        <x:f>IF(AND(ISNUMBER(F74),F74&gt;0,ISNUMBER(I74)),I74*10000/(F74*12),"")</x:f>
      </x:c>
      <x:c r="Q74" s="27" t="str">
        <x:f>IF(AND(ISNUMBER(N74),N74&gt;0,ISNUMBER(O74)),O74/N74,"")</x:f>
      </x:c>
      <x:c r="R74" s="27" t="str">
        <x:f>IF(AND(ISNUMBER(P74),P74&gt;0,ISNUMBER(O74)),O74/P74,"")</x:f>
      </x:c>
      <x:c r="S74" t="str">
        <x:f>IF(COUNT(G74:I74)=3,"完整","缺项")</x:f>
        <x:v>缺项</x:v>
      </x:c>
      <x:c r="T74" t="str">
        <x:f>IF(COUNT(D74:F74)=3,"完整","缺项")</x:f>
        <x:v>缺项</x:v>
      </x:c>
      <x:c r="U74" t="str"/>
      <x:c r="V74" t="str">
        <x:v>未查到三类完整退休待遇；不可将参保人数替代退休人数。</x:v>
      </x:c>
    </x:row>
    <x:row r="75" ht="21" customHeight="1">
      <x:c r="A75" t="str">
        <x:f>'县级总表2025'!A75</x:f>
        <x:v>宜春市</x:v>
      </x:c>
      <x:c r="B75" t="str">
        <x:f>'县级总表2025'!B75</x:f>
        <x:v>上高县</x:v>
      </x:c>
      <x:c r="C75" t="str">
        <x:f>'县级总表2025'!C75</x:f>
        <x:v>县</x:v>
      </x:c>
      <x:c r="D75" s="14" t="str">
        <x:f>IF(ISNUMBER('县级总表2025'!R75),'县级总表2025'!R75,"")</x:f>
      </x:c>
      <x:c r="E75" s="14" t="str">
        <x:f>IF(ISNUMBER('县级总表2025'!S75),'县级总表2025'!S75,"")</x:f>
      </x:c>
      <x:c r="F75" s="14" t="str">
        <x:f>IF(ISNUMBER('县级总表2025'!T75),'县级总表2025'!T75,"")</x:f>
      </x:c>
      <x:c r="G75" s="14" t="str">
        <x:f>IF(ISNUMBER('县级总表2025'!U75),'县级总表2025'!U75,"")</x:f>
      </x:c>
      <x:c r="H75" s="14" t="str">
        <x:f>IF(ISNUMBER('县级总表2025'!V75),'县级总表2025'!V75,"")</x:f>
      </x:c>
      <x:c r="I75" s="14" t="str">
        <x:f>IF(ISNUMBER('县级总表2025'!W75),'县级总表2025'!W75,"")</x:f>
      </x:c>
      <x:c r="J75" s="14" t="str">
        <x:f>IF(COUNT(G75:I75)=3,SUM(G75:I75),"")</x:f>
      </x:c>
      <x:c r="K75" s="22" t="str">
        <x:f>IF(AND(ISNUMBER(J75),J75&gt;0),H75/J75,"")</x:f>
      </x:c>
      <x:c r="L75" s="23" t="str">
        <x:f>IF(COUNT(D75:F75)=3,SUM(D75:F75),"")</x:f>
      </x:c>
      <x:c r="M75" s="22" t="str">
        <x:f>IF(AND(ISNUMBER(L75),L75&gt;0),E75/L75,"")</x:f>
      </x:c>
      <x:c r="N75" s="26" t="str">
        <x:f>IF(AND(ISNUMBER(D75),D75&gt;0,ISNUMBER(G75)),G75*10000/(D75*12),"")</x:f>
      </x:c>
      <x:c r="O75" s="26" t="str">
        <x:f>IF(AND(ISNUMBER(E75),E75&gt;0,ISNUMBER(H75)),H75*10000/(E75*12),"")</x:f>
      </x:c>
      <x:c r="P75" s="26" t="str">
        <x:f>IF(AND(ISNUMBER(F75),F75&gt;0,ISNUMBER(I75)),I75*10000/(F75*12),"")</x:f>
      </x:c>
      <x:c r="Q75" s="27" t="str">
        <x:f>IF(AND(ISNUMBER(N75),N75&gt;0,ISNUMBER(O75)),O75/N75,"")</x:f>
      </x:c>
      <x:c r="R75" s="27" t="str">
        <x:f>IF(AND(ISNUMBER(P75),P75&gt;0,ISNUMBER(O75)),O75/P75,"")</x:f>
      </x:c>
      <x:c r="S75" t="str">
        <x:f>IF(COUNT(G75:I75)=3,"完整","缺项")</x:f>
        <x:v>缺项</x:v>
      </x:c>
      <x:c r="T75" t="str">
        <x:f>IF(COUNT(D75:F75)=3,"完整","缺项")</x:f>
        <x:v>缺项</x:v>
      </x:c>
      <x:c r="U75" t="str"/>
      <x:c r="V75" t="str">
        <x:v>未查到三类完整退休待遇；不可将参保人数替代退休人数。</x:v>
      </x:c>
    </x:row>
    <x:row r="76" ht="21" customHeight="1">
      <x:c r="A76" t="str">
        <x:f>'县级总表2025'!A76</x:f>
        <x:v>宜春市</x:v>
      </x:c>
      <x:c r="B76" t="str">
        <x:f>'县级总表2025'!B76</x:f>
        <x:v>宜丰县</x:v>
      </x:c>
      <x:c r="C76" t="str">
        <x:f>'县级总表2025'!C76</x:f>
        <x:v>县</x:v>
      </x:c>
      <x:c r="D76" s="14" t="str">
        <x:f>IF(ISNUMBER('县级总表2025'!R76),'县级总表2025'!R76,"")</x:f>
      </x:c>
      <x:c r="E76" s="14" t="str">
        <x:f>IF(ISNUMBER('县级总表2025'!S76),'县级总表2025'!S76,"")</x:f>
      </x:c>
      <x:c r="F76" s="14" t="str">
        <x:f>IF(ISNUMBER('县级总表2025'!T76),'县级总表2025'!T76,"")</x:f>
      </x:c>
      <x:c r="G76" s="14" t="str">
        <x:f>IF(ISNUMBER('县级总表2025'!U76),'县级总表2025'!U76,"")</x:f>
      </x:c>
      <x:c r="H76" s="14" t="str">
        <x:f>IF(ISNUMBER('县级总表2025'!V76),'县级总表2025'!V76,"")</x:f>
      </x:c>
      <x:c r="I76" s="14" t="str">
        <x:f>IF(ISNUMBER('县级总表2025'!W76),'县级总表2025'!W76,"")</x:f>
      </x:c>
      <x:c r="J76" s="14" t="str">
        <x:f>IF(COUNT(G76:I76)=3,SUM(G76:I76),"")</x:f>
      </x:c>
      <x:c r="K76" s="22" t="str">
        <x:f>IF(AND(ISNUMBER(J76),J76&gt;0),H76/J76,"")</x:f>
      </x:c>
      <x:c r="L76" s="23" t="str">
        <x:f>IF(COUNT(D76:F76)=3,SUM(D76:F76),"")</x:f>
      </x:c>
      <x:c r="M76" s="22" t="str">
        <x:f>IF(AND(ISNUMBER(L76),L76&gt;0),E76/L76,"")</x:f>
      </x:c>
      <x:c r="N76" s="26" t="str">
        <x:f>IF(AND(ISNUMBER(D76),D76&gt;0,ISNUMBER(G76)),G76*10000/(D76*12),"")</x:f>
      </x:c>
      <x:c r="O76" s="26" t="str">
        <x:f>IF(AND(ISNUMBER(E76),E76&gt;0,ISNUMBER(H76)),H76*10000/(E76*12),"")</x:f>
      </x:c>
      <x:c r="P76" s="26" t="str">
        <x:f>IF(AND(ISNUMBER(F76),F76&gt;0,ISNUMBER(I76)),I76*10000/(F76*12),"")</x:f>
      </x:c>
      <x:c r="Q76" s="27" t="str">
        <x:f>IF(AND(ISNUMBER(N76),N76&gt;0,ISNUMBER(O76)),O76/N76,"")</x:f>
      </x:c>
      <x:c r="R76" s="27" t="str">
        <x:f>IF(AND(ISNUMBER(P76),P76&gt;0,ISNUMBER(O76)),O76/P76,"")</x:f>
      </x:c>
      <x:c r="S76" t="str">
        <x:f>IF(COUNT(G76:I76)=3,"完整","缺项")</x:f>
        <x:v>缺项</x:v>
      </x:c>
      <x:c r="T76" t="str">
        <x:f>IF(COUNT(D76:F76)=3,"完整","缺项")</x:f>
        <x:v>缺项</x:v>
      </x:c>
      <x:c r="U76" t="str"/>
      <x:c r="V76" t="str">
        <x:v>未查到三类完整退休待遇；不可将参保人数替代退休人数。</x:v>
      </x:c>
    </x:row>
    <x:row r="77" ht="21" customHeight="1">
      <x:c r="A77" t="str">
        <x:f>'县级总表2025'!A77</x:f>
        <x:v>宜春市</x:v>
      </x:c>
      <x:c r="B77" t="str">
        <x:f>'县级总表2025'!B77</x:f>
        <x:v>靖安县</x:v>
      </x:c>
      <x:c r="C77" t="str">
        <x:f>'县级总表2025'!C77</x:f>
        <x:v>县</x:v>
      </x:c>
      <x:c r="D77" s="14" t="str">
        <x:f>IF(ISNUMBER('县级总表2025'!R77),'县级总表2025'!R77,"")</x:f>
      </x:c>
      <x:c r="E77" s="14" t="str">
        <x:f>IF(ISNUMBER('县级总表2025'!S77),'县级总表2025'!S77,"")</x:f>
      </x:c>
      <x:c r="F77" s="14" t="str">
        <x:f>IF(ISNUMBER('县级总表2025'!T77),'县级总表2025'!T77,"")</x:f>
      </x:c>
      <x:c r="G77" s="14" t="str">
        <x:f>IF(ISNUMBER('县级总表2025'!U77),'县级总表2025'!U77,"")</x:f>
      </x:c>
      <x:c r="H77" s="14" t="str">
        <x:f>IF(ISNUMBER('县级总表2025'!V77),'县级总表2025'!V77,"")</x:f>
      </x:c>
      <x:c r="I77" s="14" t="str">
        <x:f>IF(ISNUMBER('县级总表2025'!W77),'县级总表2025'!W77,"")</x:f>
      </x:c>
      <x:c r="J77" s="14" t="str">
        <x:f>IF(COUNT(G77:I77)=3,SUM(G77:I77),"")</x:f>
      </x:c>
      <x:c r="K77" s="22" t="str">
        <x:f>IF(AND(ISNUMBER(J77),J77&gt;0),H77/J77,"")</x:f>
      </x:c>
      <x:c r="L77" s="23" t="str">
        <x:f>IF(COUNT(D77:F77)=3,SUM(D77:F77),"")</x:f>
      </x:c>
      <x:c r="M77" s="22" t="str">
        <x:f>IF(AND(ISNUMBER(L77),L77&gt;0),E77/L77,"")</x:f>
      </x:c>
      <x:c r="N77" s="26" t="str">
        <x:f>IF(AND(ISNUMBER(D77),D77&gt;0,ISNUMBER(G77)),G77*10000/(D77*12),"")</x:f>
      </x:c>
      <x:c r="O77" s="26" t="str">
        <x:f>IF(AND(ISNUMBER(E77),E77&gt;0,ISNUMBER(H77)),H77*10000/(E77*12),"")</x:f>
      </x:c>
      <x:c r="P77" s="26" t="str">
        <x:f>IF(AND(ISNUMBER(F77),F77&gt;0,ISNUMBER(I77)),I77*10000/(F77*12),"")</x:f>
      </x:c>
      <x:c r="Q77" s="27" t="str">
        <x:f>IF(AND(ISNUMBER(N77),N77&gt;0,ISNUMBER(O77)),O77/N77,"")</x:f>
      </x:c>
      <x:c r="R77" s="27" t="str">
        <x:f>IF(AND(ISNUMBER(P77),P77&gt;0,ISNUMBER(O77)),O77/P77,"")</x:f>
      </x:c>
      <x:c r="S77" t="str">
        <x:f>IF(COUNT(G77:I77)=3,"完整","缺项")</x:f>
        <x:v>缺项</x:v>
      </x:c>
      <x:c r="T77" t="str">
        <x:f>IF(COUNT(D77:F77)=3,"完整","缺项")</x:f>
        <x:v>缺项</x:v>
      </x:c>
      <x:c r="U77" t="str"/>
      <x:c r="V77" t="str">
        <x:v>未查到三类完整退休待遇；不可将参保人数替代退休人数。</x:v>
      </x:c>
    </x:row>
    <x:row r="78" ht="21" customHeight="1">
      <x:c r="A78" t="str">
        <x:f>'县级总表2025'!A78</x:f>
        <x:v>宜春市</x:v>
      </x:c>
      <x:c r="B78" t="str">
        <x:f>'县级总表2025'!B78</x:f>
        <x:v>铜鼓县</x:v>
      </x:c>
      <x:c r="C78" t="str">
        <x:f>'县级总表2025'!C78</x:f>
        <x:v>县</x:v>
      </x:c>
      <x:c r="D78" s="14" t="str">
        <x:f>IF(ISNUMBER('县级总表2025'!R78),'县级总表2025'!R78,"")</x:f>
      </x:c>
      <x:c r="E78" s="14" t="str">
        <x:f>IF(ISNUMBER('县级总表2025'!S78),'县级总表2025'!S78,"")</x:f>
      </x:c>
      <x:c r="F78" s="14" t="str">
        <x:f>IF(ISNUMBER('县级总表2025'!T78),'县级总表2025'!T78,"")</x:f>
      </x:c>
      <x:c r="G78" s="14" t="str">
        <x:f>IF(ISNUMBER('县级总表2025'!U78),'县级总表2025'!U78,"")</x:f>
      </x:c>
      <x:c r="H78" s="14" t="str">
        <x:f>IF(ISNUMBER('县级总表2025'!V78),'县级总表2025'!V78,"")</x:f>
      </x:c>
      <x:c r="I78" s="14" t="str">
        <x:f>IF(ISNUMBER('县级总表2025'!W78),'县级总表2025'!W78,"")</x:f>
      </x:c>
      <x:c r="J78" s="14" t="str">
        <x:f>IF(COUNT(G78:I78)=3,SUM(G78:I78),"")</x:f>
      </x:c>
      <x:c r="K78" s="22" t="str">
        <x:f>IF(AND(ISNUMBER(J78),J78&gt;0),H78/J78,"")</x:f>
      </x:c>
      <x:c r="L78" s="23" t="str">
        <x:f>IF(COUNT(D78:F78)=3,SUM(D78:F78),"")</x:f>
      </x:c>
      <x:c r="M78" s="22" t="str">
        <x:f>IF(AND(ISNUMBER(L78),L78&gt;0),E78/L78,"")</x:f>
      </x:c>
      <x:c r="N78" s="26" t="str">
        <x:f>IF(AND(ISNUMBER(D78),D78&gt;0,ISNUMBER(G78)),G78*10000/(D78*12),"")</x:f>
      </x:c>
      <x:c r="O78" s="26" t="str">
        <x:f>IF(AND(ISNUMBER(E78),E78&gt;0,ISNUMBER(H78)),H78*10000/(E78*12),"")</x:f>
      </x:c>
      <x:c r="P78" s="26" t="str">
        <x:f>IF(AND(ISNUMBER(F78),F78&gt;0,ISNUMBER(I78)),I78*10000/(F78*12),"")</x:f>
      </x:c>
      <x:c r="Q78" s="27" t="str">
        <x:f>IF(AND(ISNUMBER(N78),N78&gt;0,ISNUMBER(O78)),O78/N78,"")</x:f>
      </x:c>
      <x:c r="R78" s="27" t="str">
        <x:f>IF(AND(ISNUMBER(P78),P78&gt;0,ISNUMBER(O78)),O78/P78,"")</x:f>
      </x:c>
      <x:c r="S78" t="str">
        <x:f>IF(COUNT(G78:I78)=3,"完整","缺项")</x:f>
        <x:v>缺项</x:v>
      </x:c>
      <x:c r="T78" t="str">
        <x:f>IF(COUNT(D78:F78)=3,"完整","缺项")</x:f>
        <x:v>缺项</x:v>
      </x:c>
      <x:c r="U78" t="str"/>
      <x:c r="V78" t="str">
        <x:v>未查到三类完整退休待遇；不可将参保人数替代退休人数。</x:v>
      </x:c>
    </x:row>
    <x:row r="79" ht="21" customHeight="1">
      <x:c r="A79" t="str">
        <x:f>'县级总表2025'!A79</x:f>
        <x:v>抚州市</x:v>
      </x:c>
      <x:c r="B79" t="str">
        <x:f>'县级总表2025'!B79</x:f>
        <x:v>临川区</x:v>
      </x:c>
      <x:c r="C79" t="str">
        <x:f>'县级总表2025'!C79</x:f>
        <x:v>区</x:v>
      </x:c>
      <x:c r="D79" s="14" t="str">
        <x:f>IF(ISNUMBER('县级总表2025'!R79),'县级总表2025'!R79,"")</x:f>
      </x:c>
      <x:c r="E79" s="14" t="str">
        <x:f>IF(ISNUMBER('县级总表2025'!S79),'县级总表2025'!S79,"")</x:f>
      </x:c>
      <x:c r="F79" s="14" t="str">
        <x:f>IF(ISNUMBER('县级总表2025'!T79),'县级总表2025'!T79,"")</x:f>
      </x:c>
      <x:c r="G79" s="14" t="str">
        <x:f>IF(ISNUMBER('县级总表2025'!U79),'县级总表2025'!U79,"")</x:f>
      </x:c>
      <x:c r="H79" s="14" t="str">
        <x:f>IF(ISNUMBER('县级总表2025'!V79),'县级总表2025'!V79,"")</x:f>
      </x:c>
      <x:c r="I79" s="14" t="str">
        <x:f>IF(ISNUMBER('县级总表2025'!W79),'县级总表2025'!W79,"")</x:f>
      </x:c>
      <x:c r="J79" s="14" t="str">
        <x:f>IF(COUNT(G79:I79)=3,SUM(G79:I79),"")</x:f>
      </x:c>
      <x:c r="K79" s="22" t="str">
        <x:f>IF(AND(ISNUMBER(J79),J79&gt;0),H79/J79,"")</x:f>
      </x:c>
      <x:c r="L79" s="23" t="str">
        <x:f>IF(COUNT(D79:F79)=3,SUM(D79:F79),"")</x:f>
      </x:c>
      <x:c r="M79" s="22" t="str">
        <x:f>IF(AND(ISNUMBER(L79),L79&gt;0),E79/L79,"")</x:f>
      </x:c>
      <x:c r="N79" s="26" t="str">
        <x:f>IF(AND(ISNUMBER(D79),D79&gt;0,ISNUMBER(G79)),G79*10000/(D79*12),"")</x:f>
      </x:c>
      <x:c r="O79" s="26" t="str">
        <x:f>IF(AND(ISNUMBER(E79),E79&gt;0,ISNUMBER(H79)),H79*10000/(E79*12),"")</x:f>
      </x:c>
      <x:c r="P79" s="26" t="str">
        <x:f>IF(AND(ISNUMBER(F79),F79&gt;0,ISNUMBER(I79)),I79*10000/(F79*12),"")</x:f>
      </x:c>
      <x:c r="Q79" s="27" t="str">
        <x:f>IF(AND(ISNUMBER(N79),N79&gt;0,ISNUMBER(O79)),O79/N79,"")</x:f>
      </x:c>
      <x:c r="R79" s="27" t="str">
        <x:f>IF(AND(ISNUMBER(P79),P79&gt;0,ISNUMBER(O79)),O79/P79,"")</x:f>
      </x:c>
      <x:c r="S79" t="str">
        <x:f>IF(COUNT(G79:I79)=3,"完整","缺项")</x:f>
        <x:v>缺项</x:v>
      </x:c>
      <x:c r="T79" t="str">
        <x:f>IF(COUNT(D79:F79)=3,"完整","缺项")</x:f>
        <x:v>缺项</x:v>
      </x:c>
      <x:c r="U79" t="str"/>
      <x:c r="V79" t="str">
        <x:v>未查到三类完整退休待遇；不可将参保人数替代退休人数。</x:v>
      </x:c>
    </x:row>
    <x:row r="80" ht="21" customHeight="1">
      <x:c r="A80" t="str">
        <x:f>'县级总表2025'!A80</x:f>
        <x:v>抚州市</x:v>
      </x:c>
      <x:c r="B80" t="str">
        <x:f>'县级总表2025'!B80</x:f>
        <x:v>东乡区</x:v>
      </x:c>
      <x:c r="C80" t="str">
        <x:f>'县级总表2025'!C80</x:f>
        <x:v>区</x:v>
      </x:c>
      <x:c r="D80" s="14" t="str">
        <x:f>IF(ISNUMBER('县级总表2025'!R80),'县级总表2025'!R80,"")</x:f>
      </x:c>
      <x:c r="E80" s="14" t="str">
        <x:f>IF(ISNUMBER('县级总表2025'!S80),'县级总表2025'!S80,"")</x:f>
      </x:c>
      <x:c r="F80" s="14" t="str">
        <x:f>IF(ISNUMBER('县级总表2025'!T80),'县级总表2025'!T80,"")</x:f>
      </x:c>
      <x:c r="G80" s="14" t="str">
        <x:f>IF(ISNUMBER('县级总表2025'!U80),'县级总表2025'!U80,"")</x:f>
      </x:c>
      <x:c r="H80" s="14" t="str">
        <x:f>IF(ISNUMBER('县级总表2025'!V80),'县级总表2025'!V80,"")</x:f>
      </x:c>
      <x:c r="I80" s="14" t="str">
        <x:f>IF(ISNUMBER('县级总表2025'!W80),'县级总表2025'!W80,"")</x:f>
      </x:c>
      <x:c r="J80" s="14" t="str">
        <x:f>IF(COUNT(G80:I80)=3,SUM(G80:I80),"")</x:f>
      </x:c>
      <x:c r="K80" s="22" t="str">
        <x:f>IF(AND(ISNUMBER(J80),J80&gt;0),H80/J80,"")</x:f>
      </x:c>
      <x:c r="L80" s="23" t="str">
        <x:f>IF(COUNT(D80:F80)=3,SUM(D80:F80),"")</x:f>
      </x:c>
      <x:c r="M80" s="22" t="str">
        <x:f>IF(AND(ISNUMBER(L80),L80&gt;0),E80/L80,"")</x:f>
      </x:c>
      <x:c r="N80" s="26" t="str">
        <x:f>IF(AND(ISNUMBER(D80),D80&gt;0,ISNUMBER(G80)),G80*10000/(D80*12),"")</x:f>
      </x:c>
      <x:c r="O80" s="26" t="str">
        <x:f>IF(AND(ISNUMBER(E80),E80&gt;0,ISNUMBER(H80)),H80*10000/(E80*12),"")</x:f>
      </x:c>
      <x:c r="P80" s="26" t="str">
        <x:f>IF(AND(ISNUMBER(F80),F80&gt;0,ISNUMBER(I80)),I80*10000/(F80*12),"")</x:f>
      </x:c>
      <x:c r="Q80" s="27" t="str">
        <x:f>IF(AND(ISNUMBER(N80),N80&gt;0,ISNUMBER(O80)),O80/N80,"")</x:f>
      </x:c>
      <x:c r="R80" s="27" t="str">
        <x:f>IF(AND(ISNUMBER(P80),P80&gt;0,ISNUMBER(O80)),O80/P80,"")</x:f>
      </x:c>
      <x:c r="S80" t="str">
        <x:f>IF(COUNT(G80:I80)=3,"完整","缺项")</x:f>
        <x:v>缺项</x:v>
      </x:c>
      <x:c r="T80" t="str">
        <x:f>IF(COUNT(D80:F80)=3,"完整","缺项")</x:f>
        <x:v>缺项</x:v>
      </x:c>
      <x:c r="U80" t="str"/>
      <x:c r="V80" t="str">
        <x:v>未查到三类完整退休待遇；不可将参保人数替代退休人数。</x:v>
      </x:c>
    </x:row>
    <x:row r="81" ht="21" customHeight="1">
      <x:c r="A81" t="str">
        <x:f>'县级总表2025'!A81</x:f>
        <x:v>抚州市</x:v>
      </x:c>
      <x:c r="B81" t="str">
        <x:f>'县级总表2025'!B81</x:f>
        <x:v>南城县</x:v>
      </x:c>
      <x:c r="C81" t="str">
        <x:f>'县级总表2025'!C81</x:f>
        <x:v>县</x:v>
      </x:c>
      <x:c r="D81" s="14" t="str">
        <x:f>IF(ISNUMBER('县级总表2025'!R81),'县级总表2025'!R81,"")</x:f>
      </x:c>
      <x:c r="E81" s="14" t="str">
        <x:f>IF(ISNUMBER('县级总表2025'!S81),'县级总表2025'!S81,"")</x:f>
      </x:c>
      <x:c r="F81" s="14" t="str">
        <x:f>IF(ISNUMBER('县级总表2025'!T81),'县级总表2025'!T81,"")</x:f>
      </x:c>
      <x:c r="G81" s="14" t="str">
        <x:f>IF(ISNUMBER('县级总表2025'!U81),'县级总表2025'!U81,"")</x:f>
      </x:c>
      <x:c r="H81" s="14" t="str">
        <x:f>IF(ISNUMBER('县级总表2025'!V81),'县级总表2025'!V81,"")</x:f>
      </x:c>
      <x:c r="I81" s="14" t="str">
        <x:f>IF(ISNUMBER('县级总表2025'!W81),'县级总表2025'!W81,"")</x:f>
      </x:c>
      <x:c r="J81" s="14" t="str">
        <x:f>IF(COUNT(G81:I81)=3,SUM(G81:I81),"")</x:f>
      </x:c>
      <x:c r="K81" s="22" t="str">
        <x:f>IF(AND(ISNUMBER(J81),J81&gt;0),H81/J81,"")</x:f>
      </x:c>
      <x:c r="L81" s="23" t="str">
        <x:f>IF(COUNT(D81:F81)=3,SUM(D81:F81),"")</x:f>
      </x:c>
      <x:c r="M81" s="22" t="str">
        <x:f>IF(AND(ISNUMBER(L81),L81&gt;0),E81/L81,"")</x:f>
      </x:c>
      <x:c r="N81" s="26" t="str">
        <x:f>IF(AND(ISNUMBER(D81),D81&gt;0,ISNUMBER(G81)),G81*10000/(D81*12),"")</x:f>
      </x:c>
      <x:c r="O81" s="26" t="str">
        <x:f>IF(AND(ISNUMBER(E81),E81&gt;0,ISNUMBER(H81)),H81*10000/(E81*12),"")</x:f>
      </x:c>
      <x:c r="P81" s="26" t="str">
        <x:f>IF(AND(ISNUMBER(F81),F81&gt;0,ISNUMBER(I81)),I81*10000/(F81*12),"")</x:f>
      </x:c>
      <x:c r="Q81" s="27" t="str">
        <x:f>IF(AND(ISNUMBER(N81),N81&gt;0,ISNUMBER(O81)),O81/N81,"")</x:f>
      </x:c>
      <x:c r="R81" s="27" t="str">
        <x:f>IF(AND(ISNUMBER(P81),P81&gt;0,ISNUMBER(O81)),O81/P81,"")</x:f>
      </x:c>
      <x:c r="S81" t="str">
        <x:f>IF(COUNT(G81:I81)=3,"完整","缺项")</x:f>
        <x:v>缺项</x:v>
      </x:c>
      <x:c r="T81" t="str">
        <x:f>IF(COUNT(D81:F81)=3,"完整","缺项")</x:f>
        <x:v>缺项</x:v>
      </x:c>
      <x:c r="U81" t="str"/>
      <x:c r="V81" t="str">
        <x:v>未查到三类完整退休待遇；不可将参保人数替代退休人数。</x:v>
      </x:c>
    </x:row>
    <x:row r="82" ht="21" customHeight="1">
      <x:c r="A82" t="str">
        <x:f>'县级总表2025'!A82</x:f>
        <x:v>抚州市</x:v>
      </x:c>
      <x:c r="B82" t="str">
        <x:f>'县级总表2025'!B82</x:f>
        <x:v>黎川县</x:v>
      </x:c>
      <x:c r="C82" t="str">
        <x:f>'县级总表2025'!C82</x:f>
        <x:v>县</x:v>
      </x:c>
      <x:c r="D82" s="14" t="str">
        <x:f>IF(ISNUMBER('县级总表2025'!R82),'县级总表2025'!R82,"")</x:f>
      </x:c>
      <x:c r="E82" s="14" t="str">
        <x:f>IF(ISNUMBER('县级总表2025'!S82),'县级总表2025'!S82,"")</x:f>
      </x:c>
      <x:c r="F82" s="14" t="str">
        <x:f>IF(ISNUMBER('县级总表2025'!T82),'县级总表2025'!T82,"")</x:f>
      </x:c>
      <x:c r="G82" s="14" t="str">
        <x:f>IF(ISNUMBER('县级总表2025'!U82),'县级总表2025'!U82,"")</x:f>
      </x:c>
      <x:c r="H82" s="14" t="str">
        <x:f>IF(ISNUMBER('县级总表2025'!V82),'县级总表2025'!V82,"")</x:f>
      </x:c>
      <x:c r="I82" s="14" t="str">
        <x:f>IF(ISNUMBER('县级总表2025'!W82),'县级总表2025'!W82,"")</x:f>
      </x:c>
      <x:c r="J82" s="14" t="str">
        <x:f>IF(COUNT(G82:I82)=3,SUM(G82:I82),"")</x:f>
      </x:c>
      <x:c r="K82" s="22" t="str">
        <x:f>IF(AND(ISNUMBER(J82),J82&gt;0),H82/J82,"")</x:f>
      </x:c>
      <x:c r="L82" s="23" t="str">
        <x:f>IF(COUNT(D82:F82)=3,SUM(D82:F82),"")</x:f>
      </x:c>
      <x:c r="M82" s="22" t="str">
        <x:f>IF(AND(ISNUMBER(L82),L82&gt;0),E82/L82,"")</x:f>
      </x:c>
      <x:c r="N82" s="26" t="str">
        <x:f>IF(AND(ISNUMBER(D82),D82&gt;0,ISNUMBER(G82)),G82*10000/(D82*12),"")</x:f>
      </x:c>
      <x:c r="O82" s="26" t="str">
        <x:f>IF(AND(ISNUMBER(E82),E82&gt;0,ISNUMBER(H82)),H82*10000/(E82*12),"")</x:f>
      </x:c>
      <x:c r="P82" s="26" t="str">
        <x:f>IF(AND(ISNUMBER(F82),F82&gt;0,ISNUMBER(I82)),I82*10000/(F82*12),"")</x:f>
      </x:c>
      <x:c r="Q82" s="27" t="str">
        <x:f>IF(AND(ISNUMBER(N82),N82&gt;0,ISNUMBER(O82)),O82/N82,"")</x:f>
      </x:c>
      <x:c r="R82" s="27" t="str">
        <x:f>IF(AND(ISNUMBER(P82),P82&gt;0,ISNUMBER(O82)),O82/P82,"")</x:f>
      </x:c>
      <x:c r="S82" t="str">
        <x:f>IF(COUNT(G82:I82)=3,"完整","缺项")</x:f>
        <x:v>缺项</x:v>
      </x:c>
      <x:c r="T82" t="str">
        <x:f>IF(COUNT(D82:F82)=3,"完整","缺项")</x:f>
        <x:v>缺项</x:v>
      </x:c>
      <x:c r="U82" t="str"/>
      <x:c r="V82" t="str">
        <x:v>未查到三类完整退休待遇；不可将参保人数替代退休人数。</x:v>
      </x:c>
    </x:row>
    <x:row r="83" ht="21" customHeight="1">
      <x:c r="A83" t="str">
        <x:f>'县级总表2025'!A83</x:f>
        <x:v>抚州市</x:v>
      </x:c>
      <x:c r="B83" t="str">
        <x:f>'县级总表2025'!B83</x:f>
        <x:v>南丰县</x:v>
      </x:c>
      <x:c r="C83" t="str">
        <x:f>'县级总表2025'!C83</x:f>
        <x:v>县</x:v>
      </x:c>
      <x:c r="D83" s="14" t="str">
        <x:f>IF(ISNUMBER('县级总表2025'!R83),'县级总表2025'!R83,"")</x:f>
      </x:c>
      <x:c r="E83" s="14" t="str">
        <x:f>IF(ISNUMBER('县级总表2025'!S83),'县级总表2025'!S83,"")</x:f>
      </x:c>
      <x:c r="F83" s="14" t="str">
        <x:f>IF(ISNUMBER('县级总表2025'!T83),'县级总表2025'!T83,"")</x:f>
      </x:c>
      <x:c r="G83" s="14" t="str">
        <x:f>IF(ISNUMBER('县级总表2025'!U83),'县级总表2025'!U83,"")</x:f>
      </x:c>
      <x:c r="H83" s="14" t="str">
        <x:f>IF(ISNUMBER('县级总表2025'!V83),'县级总表2025'!V83,"")</x:f>
      </x:c>
      <x:c r="I83" s="14" t="str">
        <x:f>IF(ISNUMBER('县级总表2025'!W83),'县级总表2025'!W83,"")</x:f>
      </x:c>
      <x:c r="J83" s="14" t="str">
        <x:f>IF(COUNT(G83:I83)=3,SUM(G83:I83),"")</x:f>
      </x:c>
      <x:c r="K83" s="22" t="str">
        <x:f>IF(AND(ISNUMBER(J83),J83&gt;0),H83/J83,"")</x:f>
      </x:c>
      <x:c r="L83" s="23" t="str">
        <x:f>IF(COUNT(D83:F83)=3,SUM(D83:F83),"")</x:f>
      </x:c>
      <x:c r="M83" s="22" t="str">
        <x:f>IF(AND(ISNUMBER(L83),L83&gt;0),E83/L83,"")</x:f>
      </x:c>
      <x:c r="N83" s="26" t="str">
        <x:f>IF(AND(ISNUMBER(D83),D83&gt;0,ISNUMBER(G83)),G83*10000/(D83*12),"")</x:f>
      </x:c>
      <x:c r="O83" s="26" t="str">
        <x:f>IF(AND(ISNUMBER(E83),E83&gt;0,ISNUMBER(H83)),H83*10000/(E83*12),"")</x:f>
      </x:c>
      <x:c r="P83" s="26" t="str">
        <x:f>IF(AND(ISNUMBER(F83),F83&gt;0,ISNUMBER(I83)),I83*10000/(F83*12),"")</x:f>
      </x:c>
      <x:c r="Q83" s="27" t="str">
        <x:f>IF(AND(ISNUMBER(N83),N83&gt;0,ISNUMBER(O83)),O83/N83,"")</x:f>
      </x:c>
      <x:c r="R83" s="27" t="str">
        <x:f>IF(AND(ISNUMBER(P83),P83&gt;0,ISNUMBER(O83)),O83/P83,"")</x:f>
      </x:c>
      <x:c r="S83" t="str">
        <x:f>IF(COUNT(G83:I83)=3,"完整","缺项")</x:f>
        <x:v>缺项</x:v>
      </x:c>
      <x:c r="T83" t="str">
        <x:f>IF(COUNT(D83:F83)=3,"完整","缺项")</x:f>
        <x:v>缺项</x:v>
      </x:c>
      <x:c r="U83" t="str"/>
      <x:c r="V83" t="str">
        <x:v>未查到三类完整退休待遇；不可将参保人数替代退休人数。</x:v>
      </x:c>
    </x:row>
    <x:row r="84" ht="21" customHeight="1">
      <x:c r="A84" t="str">
        <x:f>'县级总表2025'!A84</x:f>
        <x:v>抚州市</x:v>
      </x:c>
      <x:c r="B84" t="str">
        <x:f>'县级总表2025'!B84</x:f>
        <x:v>崇仁县</x:v>
      </x:c>
      <x:c r="C84" t="str">
        <x:f>'县级总表2025'!C84</x:f>
        <x:v>县</x:v>
      </x:c>
      <x:c r="D84" s="14" t="str">
        <x:f>IF(ISNUMBER('县级总表2025'!R84),'县级总表2025'!R84,"")</x:f>
      </x:c>
      <x:c r="E84" s="14" t="str">
        <x:f>IF(ISNUMBER('县级总表2025'!S84),'县级总表2025'!S84,"")</x:f>
      </x:c>
      <x:c r="F84" s="14" t="str">
        <x:f>IF(ISNUMBER('县级总表2025'!T84),'县级总表2025'!T84,"")</x:f>
      </x:c>
      <x:c r="G84" s="14" t="str">
        <x:f>IF(ISNUMBER('县级总表2025'!U84),'县级总表2025'!U84,"")</x:f>
      </x:c>
      <x:c r="H84" s="14" t="str">
        <x:f>IF(ISNUMBER('县级总表2025'!V84),'县级总表2025'!V84,"")</x:f>
      </x:c>
      <x:c r="I84" s="14" t="str">
        <x:f>IF(ISNUMBER('县级总表2025'!W84),'县级总表2025'!W84,"")</x:f>
      </x:c>
      <x:c r="J84" s="14" t="str">
        <x:f>IF(COUNT(G84:I84)=3,SUM(G84:I84),"")</x:f>
      </x:c>
      <x:c r="K84" s="22" t="str">
        <x:f>IF(AND(ISNUMBER(J84),J84&gt;0),H84/J84,"")</x:f>
      </x:c>
      <x:c r="L84" s="23" t="str">
        <x:f>IF(COUNT(D84:F84)=3,SUM(D84:F84),"")</x:f>
      </x:c>
      <x:c r="M84" s="22" t="str">
        <x:f>IF(AND(ISNUMBER(L84),L84&gt;0),E84/L84,"")</x:f>
      </x:c>
      <x:c r="N84" s="26" t="str">
        <x:f>IF(AND(ISNUMBER(D84),D84&gt;0,ISNUMBER(G84)),G84*10000/(D84*12),"")</x:f>
      </x:c>
      <x:c r="O84" s="26" t="str">
        <x:f>IF(AND(ISNUMBER(E84),E84&gt;0,ISNUMBER(H84)),H84*10000/(E84*12),"")</x:f>
      </x:c>
      <x:c r="P84" s="26" t="str">
        <x:f>IF(AND(ISNUMBER(F84),F84&gt;0,ISNUMBER(I84)),I84*10000/(F84*12),"")</x:f>
      </x:c>
      <x:c r="Q84" s="27" t="str">
        <x:f>IF(AND(ISNUMBER(N84),N84&gt;0,ISNUMBER(O84)),O84/N84,"")</x:f>
      </x:c>
      <x:c r="R84" s="27" t="str">
        <x:f>IF(AND(ISNUMBER(P84),P84&gt;0,ISNUMBER(O84)),O84/P84,"")</x:f>
      </x:c>
      <x:c r="S84" t="str">
        <x:f>IF(COUNT(G84:I84)=3,"完整","缺项")</x:f>
        <x:v>缺项</x:v>
      </x:c>
      <x:c r="T84" t="str">
        <x:f>IF(COUNT(D84:F84)=3,"完整","缺项")</x:f>
        <x:v>缺项</x:v>
      </x:c>
      <x:c r="U84" t="str"/>
      <x:c r="V84" t="str">
        <x:v>未查到三类完整退休待遇；不可将参保人数替代退休人数。</x:v>
      </x:c>
    </x:row>
    <x:row r="85" ht="21" customHeight="1">
      <x:c r="A85" t="str">
        <x:f>'县级总表2025'!A85</x:f>
        <x:v>抚州市</x:v>
      </x:c>
      <x:c r="B85" t="str">
        <x:f>'县级总表2025'!B85</x:f>
        <x:v>乐安县</x:v>
      </x:c>
      <x:c r="C85" t="str">
        <x:f>'县级总表2025'!C85</x:f>
        <x:v>县</x:v>
      </x:c>
      <x:c r="D85" s="14" t="str">
        <x:f>IF(ISNUMBER('县级总表2025'!R85),'县级总表2025'!R85,"")</x:f>
      </x:c>
      <x:c r="E85" s="14" t="str">
        <x:f>IF(ISNUMBER('县级总表2025'!S85),'县级总表2025'!S85,"")</x:f>
      </x:c>
      <x:c r="F85" s="14" t="str">
        <x:f>IF(ISNUMBER('县级总表2025'!T85),'县级总表2025'!T85,"")</x:f>
      </x:c>
      <x:c r="G85" s="14" t="str">
        <x:f>IF(ISNUMBER('县级总表2025'!U85),'县级总表2025'!U85,"")</x:f>
      </x:c>
      <x:c r="H85" s="14" t="str">
        <x:f>IF(ISNUMBER('县级总表2025'!V85),'县级总表2025'!V85,"")</x:f>
      </x:c>
      <x:c r="I85" s="14" t="str">
        <x:f>IF(ISNUMBER('县级总表2025'!W85),'县级总表2025'!W85,"")</x:f>
      </x:c>
      <x:c r="J85" s="14" t="str">
        <x:f>IF(COUNT(G85:I85)=3,SUM(G85:I85),"")</x:f>
      </x:c>
      <x:c r="K85" s="22" t="str">
        <x:f>IF(AND(ISNUMBER(J85),J85&gt;0),H85/J85,"")</x:f>
      </x:c>
      <x:c r="L85" s="23" t="str">
        <x:f>IF(COUNT(D85:F85)=3,SUM(D85:F85),"")</x:f>
      </x:c>
      <x:c r="M85" s="22" t="str">
        <x:f>IF(AND(ISNUMBER(L85),L85&gt;0),E85/L85,"")</x:f>
      </x:c>
      <x:c r="N85" s="26" t="str">
        <x:f>IF(AND(ISNUMBER(D85),D85&gt;0,ISNUMBER(G85)),G85*10000/(D85*12),"")</x:f>
      </x:c>
      <x:c r="O85" s="26" t="str">
        <x:f>IF(AND(ISNUMBER(E85),E85&gt;0,ISNUMBER(H85)),H85*10000/(E85*12),"")</x:f>
      </x:c>
      <x:c r="P85" s="26" t="str">
        <x:f>IF(AND(ISNUMBER(F85),F85&gt;0,ISNUMBER(I85)),I85*10000/(F85*12),"")</x:f>
      </x:c>
      <x:c r="Q85" s="27" t="str">
        <x:f>IF(AND(ISNUMBER(N85),N85&gt;0,ISNUMBER(O85)),O85/N85,"")</x:f>
      </x:c>
      <x:c r="R85" s="27" t="str">
        <x:f>IF(AND(ISNUMBER(P85),P85&gt;0,ISNUMBER(O85)),O85/P85,"")</x:f>
      </x:c>
      <x:c r="S85" t="str">
        <x:f>IF(COUNT(G85:I85)=3,"完整","缺项")</x:f>
        <x:v>缺项</x:v>
      </x:c>
      <x:c r="T85" t="str">
        <x:f>IF(COUNT(D85:F85)=3,"完整","缺项")</x:f>
        <x:v>缺项</x:v>
      </x:c>
      <x:c r="U85" t="str"/>
      <x:c r="V85" t="str">
        <x:v>未查到三类完整退休待遇；不可将参保人数替代退休人数。</x:v>
      </x:c>
    </x:row>
    <x:row r="86" ht="21" customHeight="1">
      <x:c r="A86" t="str">
        <x:f>'县级总表2025'!A86</x:f>
        <x:v>抚州市</x:v>
      </x:c>
      <x:c r="B86" t="str">
        <x:f>'县级总表2025'!B86</x:f>
        <x:v>宜黄县</x:v>
      </x:c>
      <x:c r="C86" t="str">
        <x:f>'县级总表2025'!C86</x:f>
        <x:v>县</x:v>
      </x:c>
      <x:c r="D86" s="14" t="str">
        <x:f>IF(ISNUMBER('县级总表2025'!R86),'县级总表2025'!R86,"")</x:f>
      </x:c>
      <x:c r="E86" s="14" t="str">
        <x:f>IF(ISNUMBER('县级总表2025'!S86),'县级总表2025'!S86,"")</x:f>
      </x:c>
      <x:c r="F86" s="14" t="str">
        <x:f>IF(ISNUMBER('县级总表2025'!T86),'县级总表2025'!T86,"")</x:f>
      </x:c>
      <x:c r="G86" s="14" t="str">
        <x:f>IF(ISNUMBER('县级总表2025'!U86),'县级总表2025'!U86,"")</x:f>
      </x:c>
      <x:c r="H86" s="14" t="str">
        <x:f>IF(ISNUMBER('县级总表2025'!V86),'县级总表2025'!V86,"")</x:f>
      </x:c>
      <x:c r="I86" s="14" t="str">
        <x:f>IF(ISNUMBER('县级总表2025'!W86),'县级总表2025'!W86,"")</x:f>
      </x:c>
      <x:c r="J86" s="14" t="str">
        <x:f>IF(COUNT(G86:I86)=3,SUM(G86:I86),"")</x:f>
      </x:c>
      <x:c r="K86" s="22" t="str">
        <x:f>IF(AND(ISNUMBER(J86),J86&gt;0),H86/J86,"")</x:f>
      </x:c>
      <x:c r="L86" s="23" t="str">
        <x:f>IF(COUNT(D86:F86)=3,SUM(D86:F86),"")</x:f>
      </x:c>
      <x:c r="M86" s="22" t="str">
        <x:f>IF(AND(ISNUMBER(L86),L86&gt;0),E86/L86,"")</x:f>
      </x:c>
      <x:c r="N86" s="26" t="str">
        <x:f>IF(AND(ISNUMBER(D86),D86&gt;0,ISNUMBER(G86)),G86*10000/(D86*12),"")</x:f>
      </x:c>
      <x:c r="O86" s="26" t="str">
        <x:f>IF(AND(ISNUMBER(E86),E86&gt;0,ISNUMBER(H86)),H86*10000/(E86*12),"")</x:f>
      </x:c>
      <x:c r="P86" s="26" t="str">
        <x:f>IF(AND(ISNUMBER(F86),F86&gt;0,ISNUMBER(I86)),I86*10000/(F86*12),"")</x:f>
      </x:c>
      <x:c r="Q86" s="27" t="str">
        <x:f>IF(AND(ISNUMBER(N86),N86&gt;0,ISNUMBER(O86)),O86/N86,"")</x:f>
      </x:c>
      <x:c r="R86" s="27" t="str">
        <x:f>IF(AND(ISNUMBER(P86),P86&gt;0,ISNUMBER(O86)),O86/P86,"")</x:f>
      </x:c>
      <x:c r="S86" t="str">
        <x:f>IF(COUNT(G86:I86)=3,"完整","缺项")</x:f>
        <x:v>缺项</x:v>
      </x:c>
      <x:c r="T86" t="str">
        <x:f>IF(COUNT(D86:F86)=3,"完整","缺项")</x:f>
        <x:v>缺项</x:v>
      </x:c>
      <x:c r="U86" t="str"/>
      <x:c r="V86" t="str">
        <x:v>未查到三类完整退休待遇；不可将参保人数替代退休人数。</x:v>
      </x:c>
    </x:row>
    <x:row r="87" ht="21" customHeight="1">
      <x:c r="A87" t="str">
        <x:f>'县级总表2025'!A87</x:f>
        <x:v>抚州市</x:v>
      </x:c>
      <x:c r="B87" t="str">
        <x:f>'县级总表2025'!B87</x:f>
        <x:v>金溪县</x:v>
      </x:c>
      <x:c r="C87" t="str">
        <x:f>'县级总表2025'!C87</x:f>
        <x:v>县</x:v>
      </x:c>
      <x:c r="D87" s="14" t="str">
        <x:f>IF(ISNUMBER('县级总表2025'!R87),'县级总表2025'!R87,"")</x:f>
      </x:c>
      <x:c r="E87" s="14" t="str">
        <x:f>IF(ISNUMBER('县级总表2025'!S87),'县级总表2025'!S87,"")</x:f>
      </x:c>
      <x:c r="F87" s="14" t="str">
        <x:f>IF(ISNUMBER('县级总表2025'!T87),'县级总表2025'!T87,"")</x:f>
      </x:c>
      <x:c r="G87" s="14" t="str">
        <x:f>IF(ISNUMBER('县级总表2025'!U87),'县级总表2025'!U87,"")</x:f>
      </x:c>
      <x:c r="H87" s="14" t="str">
        <x:f>IF(ISNUMBER('县级总表2025'!V87),'县级总表2025'!V87,"")</x:f>
      </x:c>
      <x:c r="I87" s="14" t="str">
        <x:f>IF(ISNUMBER('县级总表2025'!W87),'县级总表2025'!W87,"")</x:f>
      </x:c>
      <x:c r="J87" s="14" t="str">
        <x:f>IF(COUNT(G87:I87)=3,SUM(G87:I87),"")</x:f>
      </x:c>
      <x:c r="K87" s="22" t="str">
        <x:f>IF(AND(ISNUMBER(J87),J87&gt;0),H87/J87,"")</x:f>
      </x:c>
      <x:c r="L87" s="23" t="str">
        <x:f>IF(COUNT(D87:F87)=3,SUM(D87:F87),"")</x:f>
      </x:c>
      <x:c r="M87" s="22" t="str">
        <x:f>IF(AND(ISNUMBER(L87),L87&gt;0),E87/L87,"")</x:f>
      </x:c>
      <x:c r="N87" s="26" t="str">
        <x:f>IF(AND(ISNUMBER(D87),D87&gt;0,ISNUMBER(G87)),G87*10000/(D87*12),"")</x:f>
      </x:c>
      <x:c r="O87" s="26" t="str">
        <x:f>IF(AND(ISNUMBER(E87),E87&gt;0,ISNUMBER(H87)),H87*10000/(E87*12),"")</x:f>
      </x:c>
      <x:c r="P87" s="26" t="str">
        <x:f>IF(AND(ISNUMBER(F87),F87&gt;0,ISNUMBER(I87)),I87*10000/(F87*12),"")</x:f>
      </x:c>
      <x:c r="Q87" s="27" t="str">
        <x:f>IF(AND(ISNUMBER(N87),N87&gt;0,ISNUMBER(O87)),O87/N87,"")</x:f>
      </x:c>
      <x:c r="R87" s="27" t="str">
        <x:f>IF(AND(ISNUMBER(P87),P87&gt;0,ISNUMBER(O87)),O87/P87,"")</x:f>
      </x:c>
      <x:c r="S87" t="str">
        <x:f>IF(COUNT(G87:I87)=3,"完整","缺项")</x:f>
        <x:v>缺项</x:v>
      </x:c>
      <x:c r="T87" t="str">
        <x:f>IF(COUNT(D87:F87)=3,"完整","缺项")</x:f>
        <x:v>缺项</x:v>
      </x:c>
      <x:c r="U87" t="str"/>
      <x:c r="V87" t="str">
        <x:v>未查到三类完整退休待遇；不可将参保人数替代退休人数。</x:v>
      </x:c>
    </x:row>
    <x:row r="88" ht="21" customHeight="1">
      <x:c r="A88" t="str">
        <x:f>'县级总表2025'!A88</x:f>
        <x:v>抚州市</x:v>
      </x:c>
      <x:c r="B88" t="str">
        <x:f>'县级总表2025'!B88</x:f>
        <x:v>资溪县</x:v>
      </x:c>
      <x:c r="C88" t="str">
        <x:f>'县级总表2025'!C88</x:f>
        <x:v>县</x:v>
      </x:c>
      <x:c r="D88" s="14" t="str">
        <x:f>IF(ISNUMBER('县级总表2025'!R88),'县级总表2025'!R88,"")</x:f>
      </x:c>
      <x:c r="E88" s="14" t="str">
        <x:f>IF(ISNUMBER('县级总表2025'!S88),'县级总表2025'!S88,"")</x:f>
      </x:c>
      <x:c r="F88" s="14" t="str">
        <x:f>IF(ISNUMBER('县级总表2025'!T88),'县级总表2025'!T88,"")</x:f>
      </x:c>
      <x:c r="G88" s="14" t="str">
        <x:f>IF(ISNUMBER('县级总表2025'!U88),'县级总表2025'!U88,"")</x:f>
      </x:c>
      <x:c r="H88" s="14" t="str">
        <x:f>IF(ISNUMBER('县级总表2025'!V88),'县级总表2025'!V88,"")</x:f>
      </x:c>
      <x:c r="I88" s="14" t="str">
        <x:f>IF(ISNUMBER('县级总表2025'!W88),'县级总表2025'!W88,"")</x:f>
      </x:c>
      <x:c r="J88" s="14" t="str">
        <x:f>IF(COUNT(G88:I88)=3,SUM(G88:I88),"")</x:f>
      </x:c>
      <x:c r="K88" s="22" t="str">
        <x:f>IF(AND(ISNUMBER(J88),J88&gt;0),H88/J88,"")</x:f>
      </x:c>
      <x:c r="L88" s="23" t="str">
        <x:f>IF(COUNT(D88:F88)=3,SUM(D88:F88),"")</x:f>
      </x:c>
      <x:c r="M88" s="22" t="str">
        <x:f>IF(AND(ISNUMBER(L88),L88&gt;0),E88/L88,"")</x:f>
      </x:c>
      <x:c r="N88" s="26" t="str">
        <x:f>IF(AND(ISNUMBER(D88),D88&gt;0,ISNUMBER(G88)),G88*10000/(D88*12),"")</x:f>
      </x:c>
      <x:c r="O88" s="26" t="str">
        <x:f>IF(AND(ISNUMBER(E88),E88&gt;0,ISNUMBER(H88)),H88*10000/(E88*12),"")</x:f>
      </x:c>
      <x:c r="P88" s="26" t="str">
        <x:f>IF(AND(ISNUMBER(F88),F88&gt;0,ISNUMBER(I88)),I88*10000/(F88*12),"")</x:f>
      </x:c>
      <x:c r="Q88" s="27" t="str">
        <x:f>IF(AND(ISNUMBER(N88),N88&gt;0,ISNUMBER(O88)),O88/N88,"")</x:f>
      </x:c>
      <x:c r="R88" s="27" t="str">
        <x:f>IF(AND(ISNUMBER(P88),P88&gt;0,ISNUMBER(O88)),O88/P88,"")</x:f>
      </x:c>
      <x:c r="S88" t="str">
        <x:f>IF(COUNT(G88:I88)=3,"完整","缺项")</x:f>
        <x:v>缺项</x:v>
      </x:c>
      <x:c r="T88" t="str">
        <x:f>IF(COUNT(D88:F88)=3,"完整","缺项")</x:f>
        <x:v>缺项</x:v>
      </x:c>
      <x:c r="U88" t="str"/>
      <x:c r="V88" t="str">
        <x:v>未查到三类完整退休待遇；不可将参保人数替代退休人数。</x:v>
      </x:c>
    </x:row>
    <x:row r="89" ht="21" customHeight="1">
      <x:c r="A89" t="str">
        <x:f>'县级总表2025'!A89</x:f>
        <x:v>抚州市</x:v>
      </x:c>
      <x:c r="B89" t="str">
        <x:f>'县级总表2025'!B89</x:f>
        <x:v>广昌县</x:v>
      </x:c>
      <x:c r="C89" t="str">
        <x:f>'县级总表2025'!C89</x:f>
        <x:v>县</x:v>
      </x:c>
      <x:c r="D89" s="14" t="str">
        <x:f>IF(ISNUMBER('县级总表2025'!R89),'县级总表2025'!R89,"")</x:f>
      </x:c>
      <x:c r="E89" s="14" t="str">
        <x:f>IF(ISNUMBER('县级总表2025'!S89),'县级总表2025'!S89,"")</x:f>
      </x:c>
      <x:c r="F89" s="14" t="str">
        <x:f>IF(ISNUMBER('县级总表2025'!T89),'县级总表2025'!T89,"")</x:f>
      </x:c>
      <x:c r="G89" s="14" t="str">
        <x:f>IF(ISNUMBER('县级总表2025'!U89),'县级总表2025'!U89,"")</x:f>
      </x:c>
      <x:c r="H89" s="14" t="str">
        <x:f>IF(ISNUMBER('县级总表2025'!V89),'县级总表2025'!V89,"")</x:f>
      </x:c>
      <x:c r="I89" s="14" t="str">
        <x:f>IF(ISNUMBER('县级总表2025'!W89),'县级总表2025'!W89,"")</x:f>
      </x:c>
      <x:c r="J89" s="14" t="str">
        <x:f>IF(COUNT(G89:I89)=3,SUM(G89:I89),"")</x:f>
      </x:c>
      <x:c r="K89" s="22" t="str">
        <x:f>IF(AND(ISNUMBER(J89),J89&gt;0),H89/J89,"")</x:f>
      </x:c>
      <x:c r="L89" s="23" t="str">
        <x:f>IF(COUNT(D89:F89)=3,SUM(D89:F89),"")</x:f>
      </x:c>
      <x:c r="M89" s="22" t="str">
        <x:f>IF(AND(ISNUMBER(L89),L89&gt;0),E89/L89,"")</x:f>
      </x:c>
      <x:c r="N89" s="26" t="str">
        <x:f>IF(AND(ISNUMBER(D89),D89&gt;0,ISNUMBER(G89)),G89*10000/(D89*12),"")</x:f>
      </x:c>
      <x:c r="O89" s="26" t="str">
        <x:f>IF(AND(ISNUMBER(E89),E89&gt;0,ISNUMBER(H89)),H89*10000/(E89*12),"")</x:f>
      </x:c>
      <x:c r="P89" s="26" t="str">
        <x:f>IF(AND(ISNUMBER(F89),F89&gt;0,ISNUMBER(I89)),I89*10000/(F89*12),"")</x:f>
      </x:c>
      <x:c r="Q89" s="27" t="str">
        <x:f>IF(AND(ISNUMBER(N89),N89&gt;0,ISNUMBER(O89)),O89/N89,"")</x:f>
      </x:c>
      <x:c r="R89" s="27" t="str">
        <x:f>IF(AND(ISNUMBER(P89),P89&gt;0,ISNUMBER(O89)),O89/P89,"")</x:f>
      </x:c>
      <x:c r="S89" t="str">
        <x:f>IF(COUNT(G89:I89)=3,"完整","缺项")</x:f>
        <x:v>缺项</x:v>
      </x:c>
      <x:c r="T89" t="str">
        <x:f>IF(COUNT(D89:F89)=3,"完整","缺项")</x:f>
        <x:v>缺项</x:v>
      </x:c>
      <x:c r="U89" t="str"/>
      <x:c r="V89" t="str">
        <x:v>未查到三类完整退休待遇；不可将参保人数替代退休人数。</x:v>
      </x:c>
    </x:row>
    <x:row r="90" ht="21" customHeight="1">
      <x:c r="A90" t="str">
        <x:f>'县级总表2025'!A90</x:f>
        <x:v>上饶市</x:v>
      </x:c>
      <x:c r="B90" t="str">
        <x:f>'县级总表2025'!B90</x:f>
        <x:v>信州区</x:v>
      </x:c>
      <x:c r="C90" t="str">
        <x:f>'县级总表2025'!C90</x:f>
        <x:v>区</x:v>
      </x:c>
      <x:c r="D90" s="14" t="str">
        <x:f>IF(ISNUMBER('县级总表2025'!R90),'县级总表2025'!R90,"")</x:f>
      </x:c>
      <x:c r="E90" s="14" t="str">
        <x:f>IF(ISNUMBER('县级总表2025'!S90),'县级总表2025'!S90,"")</x:f>
      </x:c>
      <x:c r="F90" s="14" t="str">
        <x:f>IF(ISNUMBER('县级总表2025'!T90),'县级总表2025'!T90,"")</x:f>
      </x:c>
      <x:c r="G90" s="14" t="str">
        <x:f>IF(ISNUMBER('县级总表2025'!U90),'县级总表2025'!U90,"")</x:f>
      </x:c>
      <x:c r="H90" s="14" t="str">
        <x:f>IF(ISNUMBER('县级总表2025'!V90),'县级总表2025'!V90,"")</x:f>
      </x:c>
      <x:c r="I90" s="14" t="str">
        <x:f>IF(ISNUMBER('县级总表2025'!W90),'县级总表2025'!W90,"")</x:f>
      </x:c>
      <x:c r="J90" s="14" t="str">
        <x:f>IF(COUNT(G90:I90)=3,SUM(G90:I90),"")</x:f>
      </x:c>
      <x:c r="K90" s="22" t="str">
        <x:f>IF(AND(ISNUMBER(J90),J90&gt;0),H90/J90,"")</x:f>
      </x:c>
      <x:c r="L90" s="23" t="str">
        <x:f>IF(COUNT(D90:F90)=3,SUM(D90:F90),"")</x:f>
      </x:c>
      <x:c r="M90" s="22" t="str">
        <x:f>IF(AND(ISNUMBER(L90),L90&gt;0),E90/L90,"")</x:f>
      </x:c>
      <x:c r="N90" s="26" t="str">
        <x:f>IF(AND(ISNUMBER(D90),D90&gt;0,ISNUMBER(G90)),G90*10000/(D90*12),"")</x:f>
      </x:c>
      <x:c r="O90" s="26" t="str">
        <x:f>IF(AND(ISNUMBER(E90),E90&gt;0,ISNUMBER(H90)),H90*10000/(E90*12),"")</x:f>
      </x:c>
      <x:c r="P90" s="26" t="str">
        <x:f>IF(AND(ISNUMBER(F90),F90&gt;0,ISNUMBER(I90)),I90*10000/(F90*12),"")</x:f>
      </x:c>
      <x:c r="Q90" s="27" t="str">
        <x:f>IF(AND(ISNUMBER(N90),N90&gt;0,ISNUMBER(O90)),O90/N90,"")</x:f>
      </x:c>
      <x:c r="R90" s="27" t="str">
        <x:f>IF(AND(ISNUMBER(P90),P90&gt;0,ISNUMBER(O90)),O90/P90,"")</x:f>
      </x:c>
      <x:c r="S90" t="str">
        <x:f>IF(COUNT(G90:I90)=3,"完整","缺项")</x:f>
        <x:v>缺项</x:v>
      </x:c>
      <x:c r="T90" t="str">
        <x:f>IF(COUNT(D90:F90)=3,"完整","缺项")</x:f>
        <x:v>缺项</x:v>
      </x:c>
      <x:c r="U90" t="str"/>
      <x:c r="V90" t="str">
        <x:v>未查到三类完整退休待遇；不可将参保人数替代退休人数。</x:v>
      </x:c>
    </x:row>
    <x:row r="91" ht="21" customHeight="1">
      <x:c r="A91" t="str">
        <x:f>'县级总表2025'!A91</x:f>
        <x:v>上饶市</x:v>
      </x:c>
      <x:c r="B91" t="str">
        <x:f>'县级总表2025'!B91</x:f>
        <x:v>广丰区</x:v>
      </x:c>
      <x:c r="C91" t="str">
        <x:f>'县级总表2025'!C91</x:f>
        <x:v>区</x:v>
      </x:c>
      <x:c r="D91" s="14" t="str">
        <x:f>IF(ISNUMBER('县级总表2025'!R91),'县级总表2025'!R91,"")</x:f>
      </x:c>
      <x:c r="E91" s="14" t="str">
        <x:f>IF(ISNUMBER('县级总表2025'!S91),'县级总表2025'!S91,"")</x:f>
      </x:c>
      <x:c r="F91" s="14" t="str">
        <x:f>IF(ISNUMBER('县级总表2025'!T91),'县级总表2025'!T91,"")</x:f>
      </x:c>
      <x:c r="G91" s="14" t="str">
        <x:f>IF(ISNUMBER('县级总表2025'!U91),'县级总表2025'!U91,"")</x:f>
      </x:c>
      <x:c r="H91" s="14" t="str">
        <x:f>IF(ISNUMBER('县级总表2025'!V91),'县级总表2025'!V91,"")</x:f>
      </x:c>
      <x:c r="I91" s="14" t="str">
        <x:f>IF(ISNUMBER('县级总表2025'!W91),'县级总表2025'!W91,"")</x:f>
      </x:c>
      <x:c r="J91" s="14" t="str">
        <x:f>IF(COUNT(G91:I91)=3,SUM(G91:I91),"")</x:f>
      </x:c>
      <x:c r="K91" s="22" t="str">
        <x:f>IF(AND(ISNUMBER(J91),J91&gt;0),H91/J91,"")</x:f>
      </x:c>
      <x:c r="L91" s="23" t="str">
        <x:f>IF(COUNT(D91:F91)=3,SUM(D91:F91),"")</x:f>
      </x:c>
      <x:c r="M91" s="22" t="str">
        <x:f>IF(AND(ISNUMBER(L91),L91&gt;0),E91/L91,"")</x:f>
      </x:c>
      <x:c r="N91" s="26" t="str">
        <x:f>IF(AND(ISNUMBER(D91),D91&gt;0,ISNUMBER(G91)),G91*10000/(D91*12),"")</x:f>
      </x:c>
      <x:c r="O91" s="26" t="str">
        <x:f>IF(AND(ISNUMBER(E91),E91&gt;0,ISNUMBER(H91)),H91*10000/(E91*12),"")</x:f>
      </x:c>
      <x:c r="P91" s="26" t="str">
        <x:f>IF(AND(ISNUMBER(F91),F91&gt;0,ISNUMBER(I91)),I91*10000/(F91*12),"")</x:f>
      </x:c>
      <x:c r="Q91" s="27" t="str">
        <x:f>IF(AND(ISNUMBER(N91),N91&gt;0,ISNUMBER(O91)),O91/N91,"")</x:f>
      </x:c>
      <x:c r="R91" s="27" t="str">
        <x:f>IF(AND(ISNUMBER(P91),P91&gt;0,ISNUMBER(O91)),O91/P91,"")</x:f>
      </x:c>
      <x:c r="S91" t="str">
        <x:f>IF(COUNT(G91:I91)=3,"完整","缺项")</x:f>
        <x:v>缺项</x:v>
      </x:c>
      <x:c r="T91" t="str">
        <x:f>IF(COUNT(D91:F91)=3,"完整","缺项")</x:f>
        <x:v>缺项</x:v>
      </x:c>
      <x:c r="U91" t="str"/>
      <x:c r="V91" t="str">
        <x:v>未查到三类完整退休待遇；不可将参保人数替代退休人数。</x:v>
      </x:c>
    </x:row>
    <x:row r="92" ht="21" customHeight="1">
      <x:c r="A92" t="str">
        <x:f>'县级总表2025'!A92</x:f>
        <x:v>上饶市</x:v>
      </x:c>
      <x:c r="B92" t="str">
        <x:f>'县级总表2025'!B92</x:f>
        <x:v>广信区</x:v>
      </x:c>
      <x:c r="C92" t="str">
        <x:f>'县级总表2025'!C92</x:f>
        <x:v>区</x:v>
      </x:c>
      <x:c r="D92" s="14" t="str">
        <x:f>IF(ISNUMBER('县级总表2025'!R92),'县级总表2025'!R92,"")</x:f>
      </x:c>
      <x:c r="E92" s="14" t="str">
        <x:f>IF(ISNUMBER('县级总表2025'!S92),'县级总表2025'!S92,"")</x:f>
      </x:c>
      <x:c r="F92" s="14" t="str">
        <x:f>IF(ISNUMBER('县级总表2025'!T92),'县级总表2025'!T92,"")</x:f>
      </x:c>
      <x:c r="G92" s="14" t="str">
        <x:f>IF(ISNUMBER('县级总表2025'!U92),'县级总表2025'!U92,"")</x:f>
      </x:c>
      <x:c r="H92" s="14" t="str">
        <x:f>IF(ISNUMBER('县级总表2025'!V92),'县级总表2025'!V92,"")</x:f>
      </x:c>
      <x:c r="I92" s="14" t="str">
        <x:f>IF(ISNUMBER('县级总表2025'!W92),'县级总表2025'!W92,"")</x:f>
      </x:c>
      <x:c r="J92" s="14" t="str">
        <x:f>IF(COUNT(G92:I92)=3,SUM(G92:I92),"")</x:f>
      </x:c>
      <x:c r="K92" s="22" t="str">
        <x:f>IF(AND(ISNUMBER(J92),J92&gt;0),H92/J92,"")</x:f>
      </x:c>
      <x:c r="L92" s="23" t="str">
        <x:f>IF(COUNT(D92:F92)=3,SUM(D92:F92),"")</x:f>
      </x:c>
      <x:c r="M92" s="22" t="str">
        <x:f>IF(AND(ISNUMBER(L92),L92&gt;0),E92/L92,"")</x:f>
      </x:c>
      <x:c r="N92" s="26" t="str">
        <x:f>IF(AND(ISNUMBER(D92),D92&gt;0,ISNUMBER(G92)),G92*10000/(D92*12),"")</x:f>
      </x:c>
      <x:c r="O92" s="26" t="str">
        <x:f>IF(AND(ISNUMBER(E92),E92&gt;0,ISNUMBER(H92)),H92*10000/(E92*12),"")</x:f>
      </x:c>
      <x:c r="P92" s="26" t="str">
        <x:f>IF(AND(ISNUMBER(F92),F92&gt;0,ISNUMBER(I92)),I92*10000/(F92*12),"")</x:f>
      </x:c>
      <x:c r="Q92" s="27" t="str">
        <x:f>IF(AND(ISNUMBER(N92),N92&gt;0,ISNUMBER(O92)),O92/N92,"")</x:f>
      </x:c>
      <x:c r="R92" s="27" t="str">
        <x:f>IF(AND(ISNUMBER(P92),P92&gt;0,ISNUMBER(O92)),O92/P92,"")</x:f>
      </x:c>
      <x:c r="S92" t="str">
        <x:f>IF(COUNT(G92:I92)=3,"完整","缺项")</x:f>
        <x:v>缺项</x:v>
      </x:c>
      <x:c r="T92" t="str">
        <x:f>IF(COUNT(D92:F92)=3,"完整","缺项")</x:f>
        <x:v>缺项</x:v>
      </x:c>
      <x:c r="U92" t="str"/>
      <x:c r="V92" t="str">
        <x:v>未查到三类完整退休待遇；不可将参保人数替代退休人数。</x:v>
      </x:c>
    </x:row>
    <x:row r="93" ht="21" customHeight="1">
      <x:c r="A93" t="str">
        <x:f>'县级总表2025'!A93</x:f>
        <x:v>上饶市</x:v>
      </x:c>
      <x:c r="B93" t="str">
        <x:f>'县级总表2025'!B93</x:f>
        <x:v>德兴市</x:v>
      </x:c>
      <x:c r="C93" t="str">
        <x:f>'县级总表2025'!C93</x:f>
        <x:v>县级市</x:v>
      </x:c>
      <x:c r="D93" s="14" t="str">
        <x:f>IF(ISNUMBER('县级总表2025'!R93),'县级总表2025'!R93,"")</x:f>
      </x:c>
      <x:c r="E93" s="14" t="str">
        <x:f>IF(ISNUMBER('县级总表2025'!S93),'县级总表2025'!S93,"")</x:f>
      </x:c>
      <x:c r="F93" s="14" t="str">
        <x:f>IF(ISNUMBER('县级总表2025'!T93),'县级总表2025'!T93,"")</x:f>
      </x:c>
      <x:c r="G93" s="14" t="str">
        <x:f>IF(ISNUMBER('县级总表2025'!U93),'县级总表2025'!U93,"")</x:f>
      </x:c>
      <x:c r="H93" s="14" t="str">
        <x:f>IF(ISNUMBER('县级总表2025'!V93),'县级总表2025'!V93,"")</x:f>
      </x:c>
      <x:c r="I93" s="14" t="str">
        <x:f>IF(ISNUMBER('县级总表2025'!W93),'县级总表2025'!W93,"")</x:f>
      </x:c>
      <x:c r="J93" s="14" t="str">
        <x:f>IF(COUNT(G93:I93)=3,SUM(G93:I93),"")</x:f>
      </x:c>
      <x:c r="K93" s="22" t="str">
        <x:f>IF(AND(ISNUMBER(J93),J93&gt;0),H93/J93,"")</x:f>
      </x:c>
      <x:c r="L93" s="23" t="str">
        <x:f>IF(COUNT(D93:F93)=3,SUM(D93:F93),"")</x:f>
      </x:c>
      <x:c r="M93" s="22" t="str">
        <x:f>IF(AND(ISNUMBER(L93),L93&gt;0),E93/L93,"")</x:f>
      </x:c>
      <x:c r="N93" s="26" t="str">
        <x:f>IF(AND(ISNUMBER(D93),D93&gt;0,ISNUMBER(G93)),G93*10000/(D93*12),"")</x:f>
      </x:c>
      <x:c r="O93" s="26" t="str">
        <x:f>IF(AND(ISNUMBER(E93),E93&gt;0,ISNUMBER(H93)),H93*10000/(E93*12),"")</x:f>
      </x:c>
      <x:c r="P93" s="26" t="str">
        <x:f>IF(AND(ISNUMBER(F93),F93&gt;0,ISNUMBER(I93)),I93*10000/(F93*12),"")</x:f>
      </x:c>
      <x:c r="Q93" s="27" t="str">
        <x:f>IF(AND(ISNUMBER(N93),N93&gt;0,ISNUMBER(O93)),O93/N93,"")</x:f>
      </x:c>
      <x:c r="R93" s="27" t="str">
        <x:f>IF(AND(ISNUMBER(P93),P93&gt;0,ISNUMBER(O93)),O93/P93,"")</x:f>
      </x:c>
      <x:c r="S93" t="str">
        <x:f>IF(COUNT(G93:I93)=3,"完整","缺项")</x:f>
        <x:v>缺项</x:v>
      </x:c>
      <x:c r="T93" t="str">
        <x:f>IF(COUNT(D93:F93)=3,"完整","缺项")</x:f>
        <x:v>缺项</x:v>
      </x:c>
      <x:c r="U93" t="str"/>
      <x:c r="V93" t="str">
        <x:v>未查到三类完整退休待遇；不可将参保人数替代退休人数。</x:v>
      </x:c>
    </x:row>
    <x:row r="94" ht="21" customHeight="1">
      <x:c r="A94" t="str">
        <x:f>'县级总表2025'!A94</x:f>
        <x:v>上饶市</x:v>
      </x:c>
      <x:c r="B94" t="str">
        <x:f>'县级总表2025'!B94</x:f>
        <x:v>玉山县</x:v>
      </x:c>
      <x:c r="C94" t="str">
        <x:f>'县级总表2025'!C94</x:f>
        <x:v>县</x:v>
      </x:c>
      <x:c r="D94" s="14" t="str">
        <x:f>IF(ISNUMBER('县级总表2025'!R94),'县级总表2025'!R94,"")</x:f>
      </x:c>
      <x:c r="E94" s="14" t="str">
        <x:f>IF(ISNUMBER('县级总表2025'!S94),'县级总表2025'!S94,"")</x:f>
      </x:c>
      <x:c r="F94" s="14" t="str">
        <x:f>IF(ISNUMBER('县级总表2025'!T94),'县级总表2025'!T94,"")</x:f>
      </x:c>
      <x:c r="G94" s="14" t="str">
        <x:f>IF(ISNUMBER('县级总表2025'!U94),'县级总表2025'!U94,"")</x:f>
      </x:c>
      <x:c r="H94" s="14" t="str">
        <x:f>IF(ISNUMBER('县级总表2025'!V94),'县级总表2025'!V94,"")</x:f>
      </x:c>
      <x:c r="I94" s="14" t="str">
        <x:f>IF(ISNUMBER('县级总表2025'!W94),'县级总表2025'!W94,"")</x:f>
      </x:c>
      <x:c r="J94" s="14" t="str">
        <x:f>IF(COUNT(G94:I94)=3,SUM(G94:I94),"")</x:f>
      </x:c>
      <x:c r="K94" s="22" t="str">
        <x:f>IF(AND(ISNUMBER(J94),J94&gt;0),H94/J94,"")</x:f>
      </x:c>
      <x:c r="L94" s="23" t="str">
        <x:f>IF(COUNT(D94:F94)=3,SUM(D94:F94),"")</x:f>
      </x:c>
      <x:c r="M94" s="22" t="str">
        <x:f>IF(AND(ISNUMBER(L94),L94&gt;0),E94/L94,"")</x:f>
      </x:c>
      <x:c r="N94" s="26" t="str">
        <x:f>IF(AND(ISNUMBER(D94),D94&gt;0,ISNUMBER(G94)),G94*10000/(D94*12),"")</x:f>
      </x:c>
      <x:c r="O94" s="26" t="str">
        <x:f>IF(AND(ISNUMBER(E94),E94&gt;0,ISNUMBER(H94)),H94*10000/(E94*12),"")</x:f>
      </x:c>
      <x:c r="P94" s="26" t="str">
        <x:f>IF(AND(ISNUMBER(F94),F94&gt;0,ISNUMBER(I94)),I94*10000/(F94*12),"")</x:f>
      </x:c>
      <x:c r="Q94" s="27" t="str">
        <x:f>IF(AND(ISNUMBER(N94),N94&gt;0,ISNUMBER(O94)),O94/N94,"")</x:f>
      </x:c>
      <x:c r="R94" s="27" t="str">
        <x:f>IF(AND(ISNUMBER(P94),P94&gt;0,ISNUMBER(O94)),O94/P94,"")</x:f>
      </x:c>
      <x:c r="S94" t="str">
        <x:f>IF(COUNT(G94:I94)=3,"完整","缺项")</x:f>
        <x:v>缺项</x:v>
      </x:c>
      <x:c r="T94" t="str">
        <x:f>IF(COUNT(D94:F94)=3,"完整","缺项")</x:f>
        <x:v>缺项</x:v>
      </x:c>
      <x:c r="U94" t="str">
        <x:v>https://www.hongheiku.com/xianjirank/jxsgxsq/11328.html</x:v>
      </x:c>
      <x:c r="V94" t="str"/>
    </x:row>
    <x:row r="95" ht="21" customHeight="1">
      <x:c r="A95" t="str">
        <x:f>'县级总表2025'!A95</x:f>
        <x:v>上饶市</x:v>
      </x:c>
      <x:c r="B95" t="str">
        <x:f>'县级总表2025'!B95</x:f>
        <x:v>铅山县</x:v>
      </x:c>
      <x:c r="C95" t="str">
        <x:f>'县级总表2025'!C95</x:f>
        <x:v>县</x:v>
      </x:c>
      <x:c r="D95" s="14" t="str">
        <x:f>IF(ISNUMBER('县级总表2025'!R95),'县级总表2025'!R95,"")</x:f>
      </x:c>
      <x:c r="E95" s="14" t="str">
        <x:f>IF(ISNUMBER('县级总表2025'!S95),'县级总表2025'!S95,"")</x:f>
      </x:c>
      <x:c r="F95" s="14" t="str">
        <x:f>IF(ISNUMBER('县级总表2025'!T95),'县级总表2025'!T95,"")</x:f>
      </x:c>
      <x:c r="G95" s="14" t="str">
        <x:f>IF(ISNUMBER('县级总表2025'!U95),'县级总表2025'!U95,"")</x:f>
      </x:c>
      <x:c r="H95" s="14" t="str">
        <x:f>IF(ISNUMBER('县级总表2025'!V95),'县级总表2025'!V95,"")</x:f>
      </x:c>
      <x:c r="I95" s="14" t="str">
        <x:f>IF(ISNUMBER('县级总表2025'!W95),'县级总表2025'!W95,"")</x:f>
      </x:c>
      <x:c r="J95" s="14" t="str">
        <x:f>IF(COUNT(G95:I95)=3,SUM(G95:I95),"")</x:f>
      </x:c>
      <x:c r="K95" s="22" t="str">
        <x:f>IF(AND(ISNUMBER(J95),J95&gt;0),H95/J95,"")</x:f>
      </x:c>
      <x:c r="L95" s="23" t="str">
        <x:f>IF(COUNT(D95:F95)=3,SUM(D95:F95),"")</x:f>
      </x:c>
      <x:c r="M95" s="22" t="str">
        <x:f>IF(AND(ISNUMBER(L95),L95&gt;0),E95/L95,"")</x:f>
      </x:c>
      <x:c r="N95" s="26" t="str">
        <x:f>IF(AND(ISNUMBER(D95),D95&gt;0,ISNUMBER(G95)),G95*10000/(D95*12),"")</x:f>
      </x:c>
      <x:c r="O95" s="26" t="str">
        <x:f>IF(AND(ISNUMBER(E95),E95&gt;0,ISNUMBER(H95)),H95*10000/(E95*12),"")</x:f>
      </x:c>
      <x:c r="P95" s="26" t="str">
        <x:f>IF(AND(ISNUMBER(F95),F95&gt;0,ISNUMBER(I95)),I95*10000/(F95*12),"")</x:f>
      </x:c>
      <x:c r="Q95" s="27" t="str">
        <x:f>IF(AND(ISNUMBER(N95),N95&gt;0,ISNUMBER(O95)),O95/N95,"")</x:f>
      </x:c>
      <x:c r="R95" s="27" t="str">
        <x:f>IF(AND(ISNUMBER(P95),P95&gt;0,ISNUMBER(O95)),O95/P95,"")</x:f>
      </x:c>
      <x:c r="S95" t="str">
        <x:f>IF(COUNT(G95:I95)=3,"完整","缺项")</x:f>
        <x:v>缺项</x:v>
      </x:c>
      <x:c r="T95" t="str">
        <x:f>IF(COUNT(D95:F95)=3,"完整","缺项")</x:f>
        <x:v>缺项</x:v>
      </x:c>
      <x:c r="U95" t="str"/>
      <x:c r="V95" t="str">
        <x:v>未查到三类完整退休待遇；不可将参保人数替代退休人数。</x:v>
      </x:c>
    </x:row>
    <x:row r="96" ht="21" customHeight="1">
      <x:c r="A96" t="str">
        <x:f>'县级总表2025'!A96</x:f>
        <x:v>上饶市</x:v>
      </x:c>
      <x:c r="B96" t="str">
        <x:f>'县级总表2025'!B96</x:f>
        <x:v>横峰县</x:v>
      </x:c>
      <x:c r="C96" t="str">
        <x:f>'县级总表2025'!C96</x:f>
        <x:v>县</x:v>
      </x:c>
      <x:c r="D96" s="14" t="str">
        <x:f>IF(ISNUMBER('县级总表2025'!R96),'县级总表2025'!R96,"")</x:f>
      </x:c>
      <x:c r="E96" s="14" t="str">
        <x:f>IF(ISNUMBER('县级总表2025'!S96),'县级总表2025'!S96,"")</x:f>
      </x:c>
      <x:c r="F96" s="14" t="str">
        <x:f>IF(ISNUMBER('县级总表2025'!T96),'县级总表2025'!T96,"")</x:f>
      </x:c>
      <x:c r="G96" s="14" t="str">
        <x:f>IF(ISNUMBER('县级总表2025'!U96),'县级总表2025'!U96,"")</x:f>
      </x:c>
      <x:c r="H96" s="14" t="str">
        <x:f>IF(ISNUMBER('县级总表2025'!V96),'县级总表2025'!V96,"")</x:f>
      </x:c>
      <x:c r="I96" s="14" t="str">
        <x:f>IF(ISNUMBER('县级总表2025'!W96),'县级总表2025'!W96,"")</x:f>
      </x:c>
      <x:c r="J96" s="14" t="str">
        <x:f>IF(COUNT(G96:I96)=3,SUM(G96:I96),"")</x:f>
      </x:c>
      <x:c r="K96" s="22" t="str">
        <x:f>IF(AND(ISNUMBER(J96),J96&gt;0),H96/J96,"")</x:f>
      </x:c>
      <x:c r="L96" s="23" t="str">
        <x:f>IF(COUNT(D96:F96)=3,SUM(D96:F96),"")</x:f>
      </x:c>
      <x:c r="M96" s="22" t="str">
        <x:f>IF(AND(ISNUMBER(L96),L96&gt;0),E96/L96,"")</x:f>
      </x:c>
      <x:c r="N96" s="26" t="str">
        <x:f>IF(AND(ISNUMBER(D96),D96&gt;0,ISNUMBER(G96)),G96*10000/(D96*12),"")</x:f>
      </x:c>
      <x:c r="O96" s="26" t="str">
        <x:f>IF(AND(ISNUMBER(E96),E96&gt;0,ISNUMBER(H96)),H96*10000/(E96*12),"")</x:f>
      </x:c>
      <x:c r="P96" s="26" t="str">
        <x:f>IF(AND(ISNUMBER(F96),F96&gt;0,ISNUMBER(I96)),I96*10000/(F96*12),"")</x:f>
      </x:c>
      <x:c r="Q96" s="27" t="str">
        <x:f>IF(AND(ISNUMBER(N96),N96&gt;0,ISNUMBER(O96)),O96/N96,"")</x:f>
      </x:c>
      <x:c r="R96" s="27" t="str">
        <x:f>IF(AND(ISNUMBER(P96),P96&gt;0,ISNUMBER(O96)),O96/P96,"")</x:f>
      </x:c>
      <x:c r="S96" t="str">
        <x:f>IF(COUNT(G96:I96)=3,"完整","缺项")</x:f>
        <x:v>缺项</x:v>
      </x:c>
      <x:c r="T96" t="str">
        <x:f>IF(COUNT(D96:F96)=3,"完整","缺项")</x:f>
        <x:v>缺项</x:v>
      </x:c>
      <x:c r="U96" t="str"/>
      <x:c r="V96" t="str">
        <x:v>未查到三类完整退休待遇；不可将参保人数替代退休人数。</x:v>
      </x:c>
    </x:row>
    <x:row r="97" ht="21" customHeight="1">
      <x:c r="A97" t="str">
        <x:f>'县级总表2025'!A97</x:f>
        <x:v>上饶市</x:v>
      </x:c>
      <x:c r="B97" t="str">
        <x:f>'县级总表2025'!B97</x:f>
        <x:v>弋阳县</x:v>
      </x:c>
      <x:c r="C97" t="str">
        <x:f>'县级总表2025'!C97</x:f>
        <x:v>县</x:v>
      </x:c>
      <x:c r="D97" s="14" t="str">
        <x:f>IF(ISNUMBER('县级总表2025'!R97),'县级总表2025'!R97,"")</x:f>
      </x:c>
      <x:c r="E97" s="14" t="str">
        <x:f>IF(ISNUMBER('县级总表2025'!S97),'县级总表2025'!S97,"")</x:f>
      </x:c>
      <x:c r="F97" s="14" t="str">
        <x:f>IF(ISNUMBER('县级总表2025'!T97),'县级总表2025'!T97,"")</x:f>
      </x:c>
      <x:c r="G97" s="14" t="str">
        <x:f>IF(ISNUMBER('县级总表2025'!U97),'县级总表2025'!U97,"")</x:f>
      </x:c>
      <x:c r="H97" s="14" t="str">
        <x:f>IF(ISNUMBER('县级总表2025'!V97),'县级总表2025'!V97,"")</x:f>
      </x:c>
      <x:c r="I97" s="14" t="str">
        <x:f>IF(ISNUMBER('县级总表2025'!W97),'县级总表2025'!W97,"")</x:f>
      </x:c>
      <x:c r="J97" s="14" t="str">
        <x:f>IF(COUNT(G97:I97)=3,SUM(G97:I97),"")</x:f>
      </x:c>
      <x:c r="K97" s="22" t="str">
        <x:f>IF(AND(ISNUMBER(J97),J97&gt;0),H97/J97,"")</x:f>
      </x:c>
      <x:c r="L97" s="23" t="str">
        <x:f>IF(COUNT(D97:F97)=3,SUM(D97:F97),"")</x:f>
      </x:c>
      <x:c r="M97" s="22" t="str">
        <x:f>IF(AND(ISNUMBER(L97),L97&gt;0),E97/L97,"")</x:f>
      </x:c>
      <x:c r="N97" s="26" t="str">
        <x:f>IF(AND(ISNUMBER(D97),D97&gt;0,ISNUMBER(G97)),G97*10000/(D97*12),"")</x:f>
      </x:c>
      <x:c r="O97" s="26" t="str">
        <x:f>IF(AND(ISNUMBER(E97),E97&gt;0,ISNUMBER(H97)),H97*10000/(E97*12),"")</x:f>
      </x:c>
      <x:c r="P97" s="26" t="str">
        <x:f>IF(AND(ISNUMBER(F97),F97&gt;0,ISNUMBER(I97)),I97*10000/(F97*12),"")</x:f>
      </x:c>
      <x:c r="Q97" s="27" t="str">
        <x:f>IF(AND(ISNUMBER(N97),N97&gt;0,ISNUMBER(O97)),O97/N97,"")</x:f>
      </x:c>
      <x:c r="R97" s="27" t="str">
        <x:f>IF(AND(ISNUMBER(P97),P97&gt;0,ISNUMBER(O97)),O97/P97,"")</x:f>
      </x:c>
      <x:c r="S97" t="str">
        <x:f>IF(COUNT(G97:I97)=3,"完整","缺项")</x:f>
        <x:v>缺项</x:v>
      </x:c>
      <x:c r="T97" t="str">
        <x:f>IF(COUNT(D97:F97)=3,"完整","缺项")</x:f>
        <x:v>缺项</x:v>
      </x:c>
      <x:c r="U97" t="str"/>
      <x:c r="V97" t="str">
        <x:v>未查到三类完整退休待遇；不可将参保人数替代退休人数。</x:v>
      </x:c>
    </x:row>
    <x:row r="98" ht="21" customHeight="1">
      <x:c r="A98" t="str">
        <x:f>'县级总表2025'!A98</x:f>
        <x:v>上饶市</x:v>
      </x:c>
      <x:c r="B98" t="str">
        <x:f>'县级总表2025'!B98</x:f>
        <x:v>余干县</x:v>
      </x:c>
      <x:c r="C98" t="str">
        <x:f>'县级总表2025'!C98</x:f>
        <x:v>县</x:v>
      </x:c>
      <x:c r="D98" s="14" t="str">
        <x:f>IF(ISNUMBER('县级总表2025'!R98),'县级总表2025'!R98,"")</x:f>
      </x:c>
      <x:c r="E98" s="14" t="str">
        <x:f>IF(ISNUMBER('县级总表2025'!S98),'县级总表2025'!S98,"")</x:f>
      </x:c>
      <x:c r="F98" s="14" t="str">
        <x:f>IF(ISNUMBER('县级总表2025'!T98),'县级总表2025'!T98,"")</x:f>
      </x:c>
      <x:c r="G98" s="14" t="str">
        <x:f>IF(ISNUMBER('县级总表2025'!U98),'县级总表2025'!U98,"")</x:f>
      </x:c>
      <x:c r="H98" s="14" t="str">
        <x:f>IF(ISNUMBER('县级总表2025'!V98),'县级总表2025'!V98,"")</x:f>
      </x:c>
      <x:c r="I98" s="14" t="str">
        <x:f>IF(ISNUMBER('县级总表2025'!W98),'县级总表2025'!W98,"")</x:f>
      </x:c>
      <x:c r="J98" s="14" t="str">
        <x:f>IF(COUNT(G98:I98)=3,SUM(G98:I98),"")</x:f>
      </x:c>
      <x:c r="K98" s="22" t="str">
        <x:f>IF(AND(ISNUMBER(J98),J98&gt;0),H98/J98,"")</x:f>
      </x:c>
      <x:c r="L98" s="23" t="str">
        <x:f>IF(COUNT(D98:F98)=3,SUM(D98:F98),"")</x:f>
      </x:c>
      <x:c r="M98" s="22" t="str">
        <x:f>IF(AND(ISNUMBER(L98),L98&gt;0),E98/L98,"")</x:f>
      </x:c>
      <x:c r="N98" s="26" t="str">
        <x:f>IF(AND(ISNUMBER(D98),D98&gt;0,ISNUMBER(G98)),G98*10000/(D98*12),"")</x:f>
      </x:c>
      <x:c r="O98" s="26" t="str">
        <x:f>IF(AND(ISNUMBER(E98),E98&gt;0,ISNUMBER(H98)),H98*10000/(E98*12),"")</x:f>
      </x:c>
      <x:c r="P98" s="26" t="str">
        <x:f>IF(AND(ISNUMBER(F98),F98&gt;0,ISNUMBER(I98)),I98*10000/(F98*12),"")</x:f>
      </x:c>
      <x:c r="Q98" s="27" t="str">
        <x:f>IF(AND(ISNUMBER(N98),N98&gt;0,ISNUMBER(O98)),O98/N98,"")</x:f>
      </x:c>
      <x:c r="R98" s="27" t="str">
        <x:f>IF(AND(ISNUMBER(P98),P98&gt;0,ISNUMBER(O98)),O98/P98,"")</x:f>
      </x:c>
      <x:c r="S98" t="str">
        <x:f>IF(COUNT(G98:I98)=3,"完整","缺项")</x:f>
        <x:v>缺项</x:v>
      </x:c>
      <x:c r="T98" t="str">
        <x:f>IF(COUNT(D98:F98)=3,"完整","缺项")</x:f>
        <x:v>缺项</x:v>
      </x:c>
      <x:c r="U98" t="str"/>
      <x:c r="V98" t="str">
        <x:v>未查到三类完整退休待遇；不可将参保人数替代退休人数。</x:v>
      </x:c>
    </x:row>
    <x:row r="99" ht="21" customHeight="1">
      <x:c r="A99" t="str">
        <x:f>'县级总表2025'!A99</x:f>
        <x:v>上饶市</x:v>
      </x:c>
      <x:c r="B99" t="str">
        <x:f>'县级总表2025'!B99</x:f>
        <x:v>鄱阳县</x:v>
      </x:c>
      <x:c r="C99" t="str">
        <x:f>'县级总表2025'!C99</x:f>
        <x:v>县</x:v>
      </x:c>
      <x:c r="D99" s="14" t="str">
        <x:f>IF(ISNUMBER('县级总表2025'!R99),'县级总表2025'!R99,"")</x:f>
      </x:c>
      <x:c r="E99" s="14" t="str">
        <x:f>IF(ISNUMBER('县级总表2025'!S99),'县级总表2025'!S99,"")</x:f>
      </x:c>
      <x:c r="F99" s="14" t="str">
        <x:f>IF(ISNUMBER('县级总表2025'!T99),'县级总表2025'!T99,"")</x:f>
      </x:c>
      <x:c r="G99" s="14" t="str">
        <x:f>IF(ISNUMBER('县级总表2025'!U99),'县级总表2025'!U99,"")</x:f>
      </x:c>
      <x:c r="H99" s="14" t="str">
        <x:f>IF(ISNUMBER('县级总表2025'!V99),'县级总表2025'!V99,"")</x:f>
      </x:c>
      <x:c r="I99" s="14" t="str">
        <x:f>IF(ISNUMBER('县级总表2025'!W99),'县级总表2025'!W99,"")</x:f>
      </x:c>
      <x:c r="J99" s="14" t="str">
        <x:f>IF(COUNT(G99:I99)=3,SUM(G99:I99),"")</x:f>
      </x:c>
      <x:c r="K99" s="22" t="str">
        <x:f>IF(AND(ISNUMBER(J99),J99&gt;0),H99/J99,"")</x:f>
      </x:c>
      <x:c r="L99" s="23" t="str">
        <x:f>IF(COUNT(D99:F99)=3,SUM(D99:F99),"")</x:f>
      </x:c>
      <x:c r="M99" s="22" t="str">
        <x:f>IF(AND(ISNUMBER(L99),L99&gt;0),E99/L99,"")</x:f>
      </x:c>
      <x:c r="N99" s="26" t="str">
        <x:f>IF(AND(ISNUMBER(D99),D99&gt;0,ISNUMBER(G99)),G99*10000/(D99*12),"")</x:f>
      </x:c>
      <x:c r="O99" s="26" t="str">
        <x:f>IF(AND(ISNUMBER(E99),E99&gt;0,ISNUMBER(H99)),H99*10000/(E99*12),"")</x:f>
      </x:c>
      <x:c r="P99" s="26" t="str">
        <x:f>IF(AND(ISNUMBER(F99),F99&gt;0,ISNUMBER(I99)),I99*10000/(F99*12),"")</x:f>
      </x:c>
      <x:c r="Q99" s="27" t="str">
        <x:f>IF(AND(ISNUMBER(N99),N99&gt;0,ISNUMBER(O99)),O99/N99,"")</x:f>
      </x:c>
      <x:c r="R99" s="27" t="str">
        <x:f>IF(AND(ISNUMBER(P99),P99&gt;0,ISNUMBER(O99)),O99/P99,"")</x:f>
      </x:c>
      <x:c r="S99" t="str">
        <x:f>IF(COUNT(G99:I99)=3,"完整","缺项")</x:f>
        <x:v>缺项</x:v>
      </x:c>
      <x:c r="T99" t="str">
        <x:f>IF(COUNT(D99:F99)=3,"完整","缺项")</x:f>
        <x:v>缺项</x:v>
      </x:c>
      <x:c r="U99" t="str"/>
      <x:c r="V99" t="str">
        <x:v>未查到三类完整退休待遇；不可将参保人数替代退休人数。</x:v>
      </x:c>
    </x:row>
    <x:row r="100" ht="21" customHeight="1">
      <x:c r="A100" t="str">
        <x:f>'县级总表2025'!A100</x:f>
        <x:v>上饶市</x:v>
      </x:c>
      <x:c r="B100" t="str">
        <x:f>'县级总表2025'!B100</x:f>
        <x:v>万年县</x:v>
      </x:c>
      <x:c r="C100" t="str">
        <x:f>'县级总表2025'!C100</x:f>
        <x:v>县</x:v>
      </x:c>
      <x:c r="D100" s="14" t="str">
        <x:f>IF(ISNUMBER('县级总表2025'!R100),'县级总表2025'!R100,"")</x:f>
      </x:c>
      <x:c r="E100" s="14" t="str">
        <x:f>IF(ISNUMBER('县级总表2025'!S100),'县级总表2025'!S100,"")</x:f>
      </x:c>
      <x:c r="F100" s="14" t="str">
        <x:f>IF(ISNUMBER('县级总表2025'!T100),'县级总表2025'!T100,"")</x:f>
      </x:c>
      <x:c r="G100" s="14" t="str">
        <x:f>IF(ISNUMBER('县级总表2025'!U100),'县级总表2025'!U100,"")</x:f>
      </x:c>
      <x:c r="H100" s="14" t="str">
        <x:f>IF(ISNUMBER('县级总表2025'!V100),'县级总表2025'!V100,"")</x:f>
      </x:c>
      <x:c r="I100" s="14" t="str">
        <x:f>IF(ISNUMBER('县级总表2025'!W100),'县级总表2025'!W100,"")</x:f>
      </x:c>
      <x:c r="J100" s="14" t="str">
        <x:f>IF(COUNT(G100:I100)=3,SUM(G100:I100),"")</x:f>
      </x:c>
      <x:c r="K100" s="22" t="str">
        <x:f>IF(AND(ISNUMBER(J100),J100&gt;0),H100/J100,"")</x:f>
      </x:c>
      <x:c r="L100" s="23" t="str">
        <x:f>IF(COUNT(D100:F100)=3,SUM(D100:F100),"")</x:f>
      </x:c>
      <x:c r="M100" s="22" t="str">
        <x:f>IF(AND(ISNUMBER(L100),L100&gt;0),E100/L100,"")</x:f>
      </x:c>
      <x:c r="N100" s="26" t="str">
        <x:f>IF(AND(ISNUMBER(D100),D100&gt;0,ISNUMBER(G100)),G100*10000/(D100*12),"")</x:f>
      </x:c>
      <x:c r="O100" s="26" t="str">
        <x:f>IF(AND(ISNUMBER(E100),E100&gt;0,ISNUMBER(H100)),H100*10000/(E100*12),"")</x:f>
      </x:c>
      <x:c r="P100" s="26" t="str">
        <x:f>IF(AND(ISNUMBER(F100),F100&gt;0,ISNUMBER(I100)),I100*10000/(F100*12),"")</x:f>
      </x:c>
      <x:c r="Q100" s="27" t="str">
        <x:f>IF(AND(ISNUMBER(N100),N100&gt;0,ISNUMBER(O100)),O100/N100,"")</x:f>
      </x:c>
      <x:c r="R100" s="27" t="str">
        <x:f>IF(AND(ISNUMBER(P100),P100&gt;0,ISNUMBER(O100)),O100/P100,"")</x:f>
      </x:c>
      <x:c r="S100" t="str">
        <x:f>IF(COUNT(G100:I100)=3,"完整","缺项")</x:f>
        <x:v>缺项</x:v>
      </x:c>
      <x:c r="T100" t="str">
        <x:f>IF(COUNT(D100:F100)=3,"完整","缺项")</x:f>
        <x:v>缺项</x:v>
      </x:c>
      <x:c r="U100" t="str"/>
      <x:c r="V100" t="str">
        <x:v>未查到三类完整退休待遇；不可将参保人数替代退休人数。</x:v>
      </x:c>
    </x:row>
    <x:row r="101" ht="21" customHeight="1">
      <x:c r="A101" t="str">
        <x:f>'县级总表2025'!A101</x:f>
        <x:v>上饶市</x:v>
      </x:c>
      <x:c r="B101" t="str">
        <x:f>'县级总表2025'!B101</x:f>
        <x:v>婺源县</x:v>
      </x:c>
      <x:c r="C101" t="str">
        <x:f>'县级总表2025'!C101</x:f>
        <x:v>县</x:v>
      </x:c>
      <x:c r="D101" s="14" t="str">
        <x:f>IF(ISNUMBER('县级总表2025'!R101),'县级总表2025'!R101,"")</x:f>
      </x:c>
      <x:c r="E101" s="14" t="str">
        <x:f>IF(ISNUMBER('县级总表2025'!S101),'县级总表2025'!S101,"")</x:f>
      </x:c>
      <x:c r="F101" s="14" t="str">
        <x:f>IF(ISNUMBER('县级总表2025'!T101),'县级总表2025'!T101,"")</x:f>
      </x:c>
      <x:c r="G101" s="14" t="str">
        <x:f>IF(ISNUMBER('县级总表2025'!U101),'县级总表2025'!U101,"")</x:f>
      </x:c>
      <x:c r="H101" s="14" t="str">
        <x:f>IF(ISNUMBER('县级总表2025'!V101),'县级总表2025'!V101,"")</x:f>
      </x:c>
      <x:c r="I101" s="14" t="str">
        <x:f>IF(ISNUMBER('县级总表2025'!W101),'县级总表2025'!W101,"")</x:f>
      </x:c>
      <x:c r="J101" s="14" t="str">
        <x:f>IF(COUNT(G101:I101)=3,SUM(G101:I101),"")</x:f>
      </x:c>
      <x:c r="K101" s="22" t="str">
        <x:f>IF(AND(ISNUMBER(J101),J101&gt;0),H101/J101,"")</x:f>
      </x:c>
      <x:c r="L101" s="23" t="str">
        <x:f>IF(COUNT(D101:F101)=3,SUM(D101:F101),"")</x:f>
      </x:c>
      <x:c r="M101" s="22" t="str">
        <x:f>IF(AND(ISNUMBER(L101),L101&gt;0),E101/L101,"")</x:f>
      </x:c>
      <x:c r="N101" s="26" t="str">
        <x:f>IF(AND(ISNUMBER(D101),D101&gt;0,ISNUMBER(G101)),G101*10000/(D101*12),"")</x:f>
      </x:c>
      <x:c r="O101" s="26" t="str">
        <x:f>IF(AND(ISNUMBER(E101),E101&gt;0,ISNUMBER(H101)),H101*10000/(E101*12),"")</x:f>
      </x:c>
      <x:c r="P101" s="26" t="str">
        <x:f>IF(AND(ISNUMBER(F101),F101&gt;0,ISNUMBER(I101)),I101*10000/(F101*12),"")</x:f>
      </x:c>
      <x:c r="Q101" s="27" t="str">
        <x:f>IF(AND(ISNUMBER(N101),N101&gt;0,ISNUMBER(O101)),O101/N101,"")</x:f>
      </x:c>
      <x:c r="R101" s="27" t="str">
        <x:f>IF(AND(ISNUMBER(P101),P101&gt;0,ISNUMBER(O101)),O101/P101,"")</x:f>
      </x:c>
      <x:c r="S101" t="str">
        <x:f>IF(COUNT(G101:I101)=3,"完整","缺项")</x:f>
        <x:v>缺项</x:v>
      </x:c>
      <x:c r="T101" t="str">
        <x:f>IF(COUNT(D101:F101)=3,"完整","缺项")</x:f>
        <x:v>缺项</x:v>
      </x:c>
      <x:c r="U101" t="str">
        <x:v>https://tjgb.hongheiku.com/xjtjgb/xj2020/73815.html</x:v>
      </x:c>
      <x:c r="V101" t="str">
        <x:v>城镇职工养老参保7.83万人不严格等同企业职工参保；字段暂记为城镇职工代理口径，慎比较。</x:v>
      </x:c>
    </x:row>
  </x:sheetData>
  <x:conditionalFormatting sqref="S2:T101">
    <x:cfRule type="expression" dxfId="0" priority="1">
      <x:formula>S2="完整"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9b1a6ff7e9b46df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18" hidden="0" customWidth="1"/>
    <x:col min="4" max="4" width="18" hidden="0" customWidth="1"/>
    <x:col min="5" max="5" width="18" hidden="0" customWidth="1"/>
    <x:col min="6" max="6" width="15" hidden="0" customWidth="1"/>
    <x:col min="7" max="7" width="22" hidden="0" customWidth="1"/>
    <x:col min="8" max="8" width="24" hidden="0" customWidth="1"/>
    <x:col min="9" max="9" width="19" hidden="0" customWidth="1"/>
    <x:col min="10" max="10" width="20" hidden="0" customWidth="1"/>
    <x:col min="11" max="11" width="20" hidden="0" customWidth="1"/>
    <x:col min="12" max="12" width="15" hidden="0" customWidth="1"/>
    <x:col min="13" max="13" width="27" hidden="0" customWidth="1"/>
    <x:col min="14" max="14" width="27" hidden="0" customWidth="1"/>
    <x:col min="15" max="15" width="14" hidden="0" customWidth="1"/>
    <x:col min="16" max="16" width="41" hidden="0" customWidth="1"/>
    <x:col min="17" max="17" width="48" hidden="0" customWidth="1"/>
  </x:cols>
  <x:sheetData>
    <x:row r="1" ht="32" customHeight="1">
      <x:c r="A1" s="6" t="str">
        <x:v>地级市</x:v>
      </x:c>
      <x:c r="B1" s="6" t="str">
        <x:v>实缴单位_万家</x:v>
      </x:c>
      <x:c r="C1" s="6" t="str">
        <x:v>实缴人数_万人</x:v>
      </x:c>
      <x:c r="D1" s="6" t="str">
        <x:v>缴存额_亿元</x:v>
      </x:c>
      <x:c r="E1" s="6" t="str">
        <x:v>提取额_亿元</x:v>
      </x:c>
      <x:c r="F1" s="6" t="str">
        <x:v>提取率_%</x:v>
      </x:c>
      <x:c r="G1" s="6" t="str">
        <x:v>住房消费提取_亿元</x:v>
      </x:c>
      <x:c r="H1" s="6" t="str">
        <x:v>非住房消费提取_亿元</x:v>
      </x:c>
      <x:c r="I1" s="6" t="str">
        <x:v>个人住房贷款_万笔</x:v>
      </x:c>
      <x:c r="J1" s="6" t="str">
        <x:v>发放贷款_亿元</x:v>
      </x:c>
      <x:c r="K1" s="6" t="str">
        <x:v>贷款余额_亿元</x:v>
      </x:c>
      <x:c r="L1" s="6" t="str">
        <x:v>个贷率_%</x:v>
      </x:c>
      <x:c r="M1" s="6" t="str">
        <x:v>缴存额每人年均_元(计算)</x:v>
      </x:c>
      <x:c r="N1" s="6" t="str">
        <x:v>人均月缴存_元(计算)</x:v>
      </x:c>
      <x:c r="O1" s="6" t="str">
        <x:v>对应行政层级</x:v>
      </x:c>
      <x:c r="P1" s="6" t="str">
        <x:v>来源URL</x:v>
      </x:c>
      <x:c r="Q1" s="6" t="str">
        <x:v>口径说明</x:v>
      </x:c>
    </x:row>
    <x:row r="2" ht="21" customHeight="1">
      <x:c r="A2" t="str">
        <x:v>南昌市</x:v>
      </x:c>
      <x:c r="B2" s="14" t="n">
        <x:v>2.29</x:v>
      </x:c>
      <x:c r="C2" s="14" t="n">
        <x:v>102.05</x:v>
      </x:c>
      <x:c r="D2" s="14" t="n">
        <x:v>240.17</x:v>
      </x:c>
      <x:c r="E2" s="14" t="n">
        <x:v>168.23</x:v>
      </x:c>
      <x:c r="F2" s="14" t="n">
        <x:v>70.05</x:v>
      </x:c>
      <x:c r="G2" s="14" t="n">
        <x:v>130.81</x:v>
      </x:c>
      <x:c r="H2" s="14" t="n">
        <x:v>37.42</x:v>
      </x:c>
      <x:c r="I2" s="14" t="n">
        <x:v>1.53</x:v>
      </x:c>
      <x:c r="J2" s="14" t="n">
        <x:v>99.4</x:v>
      </x:c>
      <x:c r="K2" s="14" t="n">
        <x:v>545.7</x:v>
      </x:c>
      <x:c r="L2" s="14" t="n">
        <x:v>68.46</x:v>
      </x:c>
      <x:c r="M2" s="30" t="n">
        <x:f>IF(C2&gt;0,D2*10000/C2,"")</x:f>
        <x:v>23534.54189122979</x:v>
      </x:c>
      <x:c r="N2" s="30" t="n">
        <x:f>IF(C2&gt;0,M2/12,"")</x:f>
        <x:v>1961.2118242691492</x:v>
      </x:c>
      <x:c r="O2" t="str">
        <x:v>地级市</x:v>
      </x:c>
      <x:c r="P2" t="str">
        <x:v>https://jx.ifeng.com/c/8sk35lBJNwe</x:v>
      </x:c>
      <x:c r="Q2" t="str">
        <x:v>2025年江西省公积金年度报告，城市归属数值；不可拆分或推断县级。</x:v>
      </x:c>
    </x:row>
    <x:row r="3" ht="21" customHeight="1">
      <x:c r="A3" t="str">
        <x:v>景德镇市</x:v>
      </x:c>
      <x:c r="B3" s="14" t="n">
        <x:v>0.24</x:v>
      </x:c>
      <x:c r="C3" s="14" t="n">
        <x:v>12.98</x:v>
      </x:c>
      <x:c r="D3" s="14" t="n">
        <x:v>26.58</x:v>
      </x:c>
      <x:c r="E3" s="14" t="n">
        <x:v>18.52</x:v>
      </x:c>
      <x:c r="F3" s="14" t="n">
        <x:v>69.69</x:v>
      </x:c>
      <x:c r="G3" s="14" t="n">
        <x:v>13.39</x:v>
      </x:c>
      <x:c r="H3" s="14" t="n">
        <x:v>5.13</x:v>
      </x:c>
      <x:c r="I3" s="14" t="n">
        <x:v>0.16</x:v>
      </x:c>
      <x:c r="J3" s="14" t="n">
        <x:v>7.35</x:v>
      </x:c>
      <x:c r="K3" s="14" t="n">
        <x:v>61.85</x:v>
      </x:c>
      <x:c r="L3" s="14" t="n">
        <x:v>63.42</x:v>
      </x:c>
      <x:c r="M3" s="30" t="n">
        <x:f>IF(C3&gt;0,D3*10000/C3,"")</x:f>
        <x:v>20477.657935285053</x:v>
      </x:c>
      <x:c r="N3" s="30" t="n">
        <x:f>IF(C3&gt;0,M3/12,"")</x:f>
        <x:v>1706.4714946070878</x:v>
      </x:c>
      <x:c r="O3" t="str">
        <x:v>地级市</x:v>
      </x:c>
      <x:c r="P3" t="str">
        <x:v>https://jx.ifeng.com/c/8sk35lBJNwe</x:v>
      </x:c>
      <x:c r="Q3" t="str">
        <x:v>2025年江西省公积金年度报告，城市归属数值；不可拆分或推断县级。</x:v>
      </x:c>
    </x:row>
    <x:row r="4" ht="21" customHeight="1">
      <x:c r="A4" t="str">
        <x:v>萍乡市</x:v>
      </x:c>
      <x:c r="B4" s="14" t="n">
        <x:v>0.26</x:v>
      </x:c>
      <x:c r="C4" s="14" t="n">
        <x:v>12.62</x:v>
      </x:c>
      <x:c r="D4" s="14" t="n">
        <x:v>26.26</x:v>
      </x:c>
      <x:c r="E4" s="14" t="n">
        <x:v>21.14</x:v>
      </x:c>
      <x:c r="F4" s="14" t="n">
        <x:v>80.48</x:v>
      </x:c>
      <x:c r="G4" s="14" t="n">
        <x:v>15.38</x:v>
      </x:c>
      <x:c r="H4" s="14" t="n">
        <x:v>5.76</x:v>
      </x:c>
      <x:c r="I4" s="14" t="n">
        <x:v>0.19</x:v>
      </x:c>
      <x:c r="J4" s="14" t="n">
        <x:v>7.18</x:v>
      </x:c>
      <x:c r="K4" s="14" t="n">
        <x:v>63.76</x:v>
      </x:c>
      <x:c r="L4" s="14" t="n">
        <x:v>60.95</x:v>
      </x:c>
      <x:c r="M4" s="30" t="n">
        <x:f>IF(C4&gt;0,D4*10000/C4,"")</x:f>
        <x:v>20808.24088748019</x:v>
      </x:c>
      <x:c r="N4" s="30" t="n">
        <x:f>IF(C4&gt;0,M4/12,"")</x:f>
        <x:v>1734.0200739566826</x:v>
      </x:c>
      <x:c r="O4" t="str">
        <x:v>地级市</x:v>
      </x:c>
      <x:c r="P4" t="str">
        <x:v>https://jx.ifeng.com/c/8sk35lBJNwe</x:v>
      </x:c>
      <x:c r="Q4" t="str">
        <x:v>2025年江西省公积金年度报告，城市归属数值；不可拆分或推断县级。</x:v>
      </x:c>
    </x:row>
    <x:row r="5" ht="21" customHeight="1">
      <x:c r="A5" t="str">
        <x:v>九江市</x:v>
      </x:c>
      <x:c r="B5" s="14" t="n">
        <x:v>0.79</x:v>
      </x:c>
      <x:c r="C5" s="14" t="n">
        <x:v>33.66</x:v>
      </x:c>
      <x:c r="D5" s="14" t="n">
        <x:v>66</x:v>
      </x:c>
      <x:c r="E5" s="14" t="n">
        <x:v>47.18</x:v>
      </x:c>
      <x:c r="F5" s="14" t="n">
        <x:v>71.48</x:v>
      </x:c>
      <x:c r="G5" s="14" t="n">
        <x:v>33.97</x:v>
      </x:c>
      <x:c r="H5" s="14" t="n">
        <x:v>13.21</x:v>
      </x:c>
      <x:c r="I5" s="14" t="n">
        <x:v>0.41</x:v>
      </x:c>
      <x:c r="J5" s="14" t="n">
        <x:v>18.3</x:v>
      </x:c>
      <x:c r="K5" s="14" t="n">
        <x:v>144.51</x:v>
      </x:c>
      <x:c r="L5" s="14" t="n">
        <x:v>68.75</x:v>
      </x:c>
      <x:c r="M5" s="30" t="n">
        <x:f>IF(C5&gt;0,D5*10000/C5,"")</x:f>
        <x:v>19607.843137254906</x:v>
      </x:c>
      <x:c r="N5" s="30" t="n">
        <x:f>IF(C5&gt;0,M5/12,"")</x:f>
        <x:v>1633.9869281045756</x:v>
      </x:c>
      <x:c r="O5" t="str">
        <x:v>地级市</x:v>
      </x:c>
      <x:c r="P5" t="str">
        <x:v>https://jx.ifeng.com/c/8sk35lBJNwe</x:v>
      </x:c>
      <x:c r="Q5" t="str">
        <x:v>2025年江西省公积金年度报告，城市归属数值；不可拆分或推断县级。</x:v>
      </x:c>
    </x:row>
    <x:row r="6" ht="21" customHeight="1">
      <x:c r="A6" t="str">
        <x:v>新余市</x:v>
      </x:c>
      <x:c r="B6" s="14" t="n">
        <x:v>0.16</x:v>
      </x:c>
      <x:c r="C6" s="14" t="n">
        <x:v>10.87</x:v>
      </x:c>
      <x:c r="D6" s="14" t="n">
        <x:v>24.92</x:v>
      </x:c>
      <x:c r="E6" s="14" t="n">
        <x:v>15.55</x:v>
      </x:c>
      <x:c r="F6" s="14" t="n">
        <x:v>62.41</x:v>
      </x:c>
      <x:c r="G6" s="14" t="n">
        <x:v>9.67</x:v>
      </x:c>
      <x:c r="H6" s="14" t="n">
        <x:v>5.88</x:v>
      </x:c>
      <x:c r="I6" s="14" t="n">
        <x:v>0.14</x:v>
      </x:c>
      <x:c r="J6" s="14" t="n">
        <x:v>5.67</x:v>
      </x:c>
      <x:c r="K6" s="14" t="n">
        <x:v>41.53</x:v>
      </x:c>
      <x:c r="L6" s="14" t="n">
        <x:v>44.09</x:v>
      </x:c>
      <x:c r="M6" s="30" t="n">
        <x:f>IF(C6&gt;0,D6*10000/C6,"")</x:f>
        <x:v>22925.482980680776</x:v>
      </x:c>
      <x:c r="N6" s="30" t="n">
        <x:f>IF(C6&gt;0,M6/12,"")</x:f>
        <x:v>1910.4569150567313</x:v>
      </x:c>
      <x:c r="O6" t="str">
        <x:v>地级市</x:v>
      </x:c>
      <x:c r="P6" t="str">
        <x:v>https://jx.ifeng.com/c/8sk35lBJNwe</x:v>
      </x:c>
      <x:c r="Q6" t="str">
        <x:v>2025年江西省公积金年度报告，城市归属数值；不可拆分或推断县级。</x:v>
      </x:c>
    </x:row>
    <x:row r="7" ht="21" customHeight="1">
      <x:c r="A7" t="str">
        <x:v>鹰潭市</x:v>
      </x:c>
      <x:c r="B7" s="14" t="n">
        <x:v>0.2</x:v>
      </x:c>
      <x:c r="C7" s="14" t="n">
        <x:v>8.09</x:v>
      </x:c>
      <x:c r="D7" s="14" t="n">
        <x:v>17.57</x:v>
      </x:c>
      <x:c r="E7" s="14" t="n">
        <x:v>12.48</x:v>
      </x:c>
      <x:c r="F7" s="14" t="n">
        <x:v>71.05</x:v>
      </x:c>
      <x:c r="G7" s="14" t="n">
        <x:v>8.53</x:v>
      </x:c>
      <x:c r="H7" s="14" t="n">
        <x:v>3.95</x:v>
      </x:c>
      <x:c r="I7" s="14" t="n">
        <x:v>0.11</x:v>
      </x:c>
      <x:c r="J7" s="14" t="n">
        <x:v>4.9</x:v>
      </x:c>
      <x:c r="K7" s="14" t="n">
        <x:v>38.26</x:v>
      </x:c>
      <x:c r="L7" s="14" t="n">
        <x:v>58.69</x:v>
      </x:c>
      <x:c r="M7" s="30" t="n">
        <x:f>IF(C7&gt;0,D7*10000/C7,"")</x:f>
        <x:v>21718.170580964153</x:v>
      </x:c>
      <x:c r="N7" s="30" t="n">
        <x:f>IF(C7&gt;0,M7/12,"")</x:f>
        <x:v>1809.8475484136795</x:v>
      </x:c>
      <x:c r="O7" t="str">
        <x:v>地级市</x:v>
      </x:c>
      <x:c r="P7" t="str">
        <x:v>https://jx.ifeng.com/c/8sk35lBJNwe</x:v>
      </x:c>
      <x:c r="Q7" t="str">
        <x:v>2025年江西省公积金年度报告，城市归属数值；不可拆分或推断县级。</x:v>
      </x:c>
    </x:row>
    <x:row r="8" ht="21" customHeight="1">
      <x:c r="A8" t="str">
        <x:v>赣州市</x:v>
      </x:c>
      <x:c r="B8" s="14" t="n">
        <x:v>1.58</x:v>
      </x:c>
      <x:c r="C8" s="14" t="n">
        <x:v>60.66</x:v>
      </x:c>
      <x:c r="D8" s="14" t="n">
        <x:v>105.68</x:v>
      </x:c>
      <x:c r="E8" s="14" t="n">
        <x:v>75.09</x:v>
      </x:c>
      <x:c r="F8" s="14" t="n">
        <x:v>71.05</x:v>
      </x:c>
      <x:c r="G8" s="14" t="n">
        <x:v>57.7</x:v>
      </x:c>
      <x:c r="H8" s="14" t="n">
        <x:v>17.39</x:v>
      </x:c>
      <x:c r="I8" s="14" t="n">
        <x:v>1.23</x:v>
      </x:c>
      <x:c r="J8" s="14" t="n">
        <x:v>65.94</x:v>
      </x:c>
      <x:c r="K8" s="14" t="n">
        <x:v>328.95</x:v>
      </x:c>
      <x:c r="L8" s="14" t="n">
        <x:v>87.2</x:v>
      </x:c>
      <x:c r="M8" s="30" t="n">
        <x:f>IF(C8&gt;0,D8*10000/C8,"")</x:f>
        <x:v>17421.694691724366</x:v>
      </x:c>
      <x:c r="N8" s="30" t="n">
        <x:f>IF(C8&gt;0,M8/12,"")</x:f>
        <x:v>1451.8078909770304</x:v>
      </x:c>
      <x:c r="O8" t="str">
        <x:v>地级市</x:v>
      </x:c>
      <x:c r="P8" t="str">
        <x:v>https://jx.ifeng.com/c/8sk35lBJNwe</x:v>
      </x:c>
      <x:c r="Q8" t="str">
        <x:v>2025年江西省公积金年度报告，城市归属数值；不可拆分或推断县级。</x:v>
      </x:c>
    </x:row>
    <x:row r="9" ht="21" customHeight="1">
      <x:c r="A9" t="str">
        <x:v>吉安市</x:v>
      </x:c>
      <x:c r="B9" s="14" t="n">
        <x:v>0.64</x:v>
      </x:c>
      <x:c r="C9" s="14" t="n">
        <x:v>29.29</x:v>
      </x:c>
      <x:c r="D9" s="14" t="n">
        <x:v>55.28</x:v>
      </x:c>
      <x:c r="E9" s="14" t="n">
        <x:v>38.12</x:v>
      </x:c>
      <x:c r="F9" s="14" t="n">
        <x:v>68.97</x:v>
      </x:c>
      <x:c r="G9" s="14" t="n">
        <x:v>26.9</x:v>
      </x:c>
      <x:c r="H9" s="14" t="n">
        <x:v>11.23</x:v>
      </x:c>
      <x:c r="I9" s="14" t="n">
        <x:v>0.5</x:v>
      </x:c>
      <x:c r="J9" s="14" t="n">
        <x:v>23.76</x:v>
      </x:c>
      <x:c r="K9" s="14" t="n">
        <x:v>159.41</x:v>
      </x:c>
      <x:c r="L9" s="14" t="n">
        <x:v>74.74</x:v>
      </x:c>
      <x:c r="M9" s="30" t="n">
        <x:f>IF(C9&gt;0,D9*10000/C9,"")</x:f>
        <x:v>18873.33560942301</x:v>
      </x:c>
      <x:c r="N9" s="30" t="n">
        <x:f>IF(C9&gt;0,M9/12,"")</x:f>
        <x:v>1572.7779674519177</x:v>
      </x:c>
      <x:c r="O9" t="str">
        <x:v>地级市</x:v>
      </x:c>
      <x:c r="P9" t="str">
        <x:v>https://jx.ifeng.com/c/8sk35lBJNwe</x:v>
      </x:c>
      <x:c r="Q9" t="str">
        <x:v>2025年江西省公积金年度报告，城市归属数值；不可拆分或推断县级。</x:v>
      </x:c>
    </x:row>
    <x:row r="10" ht="21" customHeight="1">
      <x:c r="A10" t="str">
        <x:v>宜春市</x:v>
      </x:c>
      <x:c r="B10" s="14" t="n">
        <x:v>0.58</x:v>
      </x:c>
      <x:c r="C10" s="14" t="n">
        <x:v>31.49</x:v>
      </x:c>
      <x:c r="D10" s="14" t="n">
        <x:v>56.66</x:v>
      </x:c>
      <x:c r="E10" s="14" t="n">
        <x:v>38.57</x:v>
      </x:c>
      <x:c r="F10" s="14" t="n">
        <x:v>68.08</x:v>
      </x:c>
      <x:c r="G10" s="14" t="n">
        <x:v>26.94</x:v>
      </x:c>
      <x:c r="H10" s="14" t="n">
        <x:v>11.63</x:v>
      </x:c>
      <x:c r="I10" s="14" t="n">
        <x:v>0.34</x:v>
      </x:c>
      <x:c r="J10" s="14" t="n">
        <x:v>16.14</x:v>
      </x:c>
      <x:c r="K10" s="14" t="n">
        <x:v>121.53</x:v>
      </x:c>
      <x:c r="L10" s="14" t="n">
        <x:v>62.1</x:v>
      </x:c>
      <x:c r="M10" s="30" t="n">
        <x:f>IF(C10&gt;0,D10*10000/C10,"")</x:f>
        <x:v>17993.013655128612</x:v>
      </x:c>
      <x:c r="N10" s="30" t="n">
        <x:f>IF(C10&gt;0,M10/12,"")</x:f>
        <x:v>1499.417804594051</x:v>
      </x:c>
      <x:c r="O10" t="str">
        <x:v>地级市</x:v>
      </x:c>
      <x:c r="P10" t="str">
        <x:v>https://jx.ifeng.com/c/8sk35lBJNwe</x:v>
      </x:c>
      <x:c r="Q10" t="str">
        <x:v>2025年江西省公积金年度报告，城市归属数值；不可拆分或推断县级。</x:v>
      </x:c>
    </x:row>
    <x:row r="11" ht="21" customHeight="1">
      <x:c r="A11" t="str">
        <x:v>抚州市</x:v>
      </x:c>
      <x:c r="B11" s="14" t="n">
        <x:v>0.5</x:v>
      </x:c>
      <x:c r="C11" s="14" t="n">
        <x:v>22.85</x:v>
      </x:c>
      <x:c r="D11" s="14" t="n">
        <x:v>43.35</x:v>
      </x:c>
      <x:c r="E11" s="14" t="n">
        <x:v>26.74</x:v>
      </x:c>
      <x:c r="F11" s="14" t="n">
        <x:v>61.68</x:v>
      </x:c>
      <x:c r="G11" s="14" t="n">
        <x:v>18.45</x:v>
      </x:c>
      <x:c r="H11" s="14" t="n">
        <x:v>8.29</x:v>
      </x:c>
      <x:c r="I11" s="14" t="n">
        <x:v>0.25</x:v>
      </x:c>
      <x:c r="J11" s="14" t="n">
        <x:v>11.27</x:v>
      </x:c>
      <x:c r="K11" s="14" t="n">
        <x:v>108.06</x:v>
      </x:c>
      <x:c r="L11" s="14" t="n">
        <x:v>63.96</x:v>
      </x:c>
      <x:c r="M11" s="30" t="n">
        <x:f>IF(C11&gt;0,D11*10000/C11,"")</x:f>
        <x:v>18971.55361050328</x:v>
      </x:c>
      <x:c r="N11" s="30" t="n">
        <x:f>IF(C11&gt;0,M11/12,"")</x:f>
        <x:v>1580.9628008752734</x:v>
      </x:c>
      <x:c r="O11" t="str">
        <x:v>地级市</x:v>
      </x:c>
      <x:c r="P11" t="str">
        <x:v>https://jx.ifeng.com/c/8sk35lBJNwe</x:v>
      </x:c>
      <x:c r="Q11" t="str">
        <x:v>2025年江西省公积金年度报告，城市归属数值；不可拆分或推断县级。</x:v>
      </x:c>
    </x:row>
    <x:row r="12" ht="21" customHeight="1">
      <x:c r="A12" t="str">
        <x:v>上饶市</x:v>
      </x:c>
      <x:c r="B12" s="14" t="n">
        <x:v>0.6</x:v>
      </x:c>
      <x:c r="C12" s="14" t="n">
        <x:v>29.21</x:v>
      </x:c>
      <x:c r="D12" s="14" t="n">
        <x:v>66.05</x:v>
      </x:c>
      <x:c r="E12" s="14" t="n">
        <x:v>41.8</x:v>
      </x:c>
      <x:c r="F12" s="14" t="n">
        <x:v>63.28</x:v>
      </x:c>
      <x:c r="G12" s="14" t="n">
        <x:v>28.49</x:v>
      </x:c>
      <x:c r="H12" s="14" t="n">
        <x:v>13.3</x:v>
      </x:c>
      <x:c r="I12" s="14" t="n">
        <x:v>0.43</x:v>
      </x:c>
      <x:c r="J12" s="14" t="n">
        <x:v>22.25</x:v>
      </x:c>
      <x:c r="K12" s="14" t="n">
        <x:v>178.93</x:v>
      </x:c>
      <x:c r="L12" s="14" t="n">
        <x:v>66.24</x:v>
      </x:c>
      <x:c r="M12" s="30" t="n">
        <x:f>IF(C12&gt;0,D12*10000/C12,"")</x:f>
        <x:v>22612.119137281752</x:v>
      </x:c>
      <x:c r="N12" s="30" t="n">
        <x:f>IF(C12&gt;0,M12/12,"")</x:f>
        <x:v>1884.343261440146</x:v>
      </x:c>
      <x:c r="O12" t="str">
        <x:v>地级市</x:v>
      </x:c>
      <x:c r="P12" t="str">
        <x:v>https://jx.ifeng.com/c/8sk35lBJNwe</x:v>
      </x:c>
      <x:c r="Q12" t="str">
        <x:v>2025年江西省公积金年度报告，城市归属数值；不可拆分或推断县级。</x:v>
      </x:c>
    </x:row>
    <x:row r="13" ht="21" customHeight="1">
      <x:c r="A13" t="str">
        <x:v>江西省合计</x:v>
      </x:c>
      <x:c r="B13" s="14" t="n">
        <x:v>7.86</x:v>
      </x:c>
      <x:c r="C13" s="14" t="n">
        <x:v>353.77</x:v>
      </x:c>
      <x:c r="D13" s="14" t="n">
        <x:v>728.52</x:v>
      </x:c>
      <x:c r="E13" s="14" t="n">
        <x:v>503.42</x:v>
      </x:c>
      <x:c r="F13" s="14" t="n">
        <x:v>69.1</x:v>
      </x:c>
      <x:c r="G13" s="14" t="n">
        <x:v>370.22</x:v>
      </x:c>
      <x:c r="H13" s="14" t="n">
        <x:v>133.2</x:v>
      </x:c>
      <x:c r="I13" s="14" t="n">
        <x:v>5.28</x:v>
      </x:c>
      <x:c r="J13" s="14" t="n">
        <x:v>282.16</x:v>
      </x:c>
      <x:c r="K13" s="14" t="n">
        <x:v>1792.5</x:v>
      </x:c>
      <x:c r="L13" s="14" t="n">
        <x:v>69.1</x:v>
      </x:c>
      <x:c r="M13" s="30" t="n">
        <x:f>IF(C13&gt;0,D13*10000/C13,"")</x:f>
        <x:v>20593.04067614552</x:v>
      </x:c>
      <x:c r="N13" s="30" t="n">
        <x:f>IF(C13&gt;0,M13/12,"")</x:f>
        <x:v>1716.0867230121266</x:v>
      </x:c>
      <x:c r="O13" t="str">
        <x:v>省级</x:v>
      </x:c>
      <x:c r="P13" t="str">
        <x:v>https://jx.ifeng.com/c/8sk35lBJNwe</x:v>
      </x:c>
      <x:c r="Q13" t="str">
        <x:v>2025全省总计；与各市加总可能存在四舍五入差。</x:v>
      </x:c>
    </x:row>
  </x:sheetData>
  <x:pageMargins left="0.7" right="0.7" top="0.75" bottom="0.75" header="0.3" footer="0.3"/>
  <x:tableParts count="1">
    <x:tablePart xmlns:r="http://schemas.openxmlformats.org/officeDocument/2006/relationships" r:id="R1c088a7613a44432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4" hidden="0" customWidth="1"/>
    <x:col min="4" max="4" width="36" hidden="0" customWidth="1"/>
    <x:col min="5" max="5" width="23" hidden="0" customWidth="1"/>
    <x:col min="6" max="6" width="30" hidden="0" customWidth="1"/>
    <x:col min="7" max="7" width="25" hidden="0" customWidth="1"/>
    <x:col min="8" max="8" width="24" hidden="0" customWidth="1"/>
    <x:col min="9" max="9" width="47" hidden="0" customWidth="1"/>
    <x:col min="10" max="10" width="65" hidden="0" customWidth="1"/>
  </x:cols>
  <x:sheetData>
    <x:row r="1" ht="32" customHeight="1">
      <x:c r="A1" s="6" t="str">
        <x:v>地级市</x:v>
      </x:c>
      <x:c r="B1" s="6" t="str">
        <x:v>县区</x:v>
      </x:c>
      <x:c r="C1" s="6" t="str">
        <x:v>2025年城乡居民基本养老保险基金支出_万元</x:v>
      </x:c>
      <x:c r="D1" s="6" t="str">
        <x:v>2025年机关事业单位基本养老保险基金支出_万元</x:v>
      </x:c>
      <x:c r="E1" s="6" t="str">
        <x:v>两项合计_万元(计算)</x:v>
      </x:c>
      <x:c r="F1" s="6" t="str">
        <x:v>企业职工养老基金支出_万元</x:v>
      </x:c>
      <x:c r="G1" s="6" t="str">
        <x:v>资料性质</x:v>
      </x:c>
      <x:c r="H1" s="6" t="str">
        <x:v>支出可否当养老金发放额</x:v>
      </x:c>
      <x:c r="I1" s="6" t="str">
        <x:v>原始文件/页面URL</x:v>
      </x:c>
      <x:c r="J1" s="6" t="str">
        <x:v>核验备注</x:v>
      </x:c>
    </x:row>
    <x:row r="2" ht="21" customHeight="1">
      <x:c r="A2" t="str">
        <x:v>赣州市</x:v>
      </x:c>
      <x:c r="B2" t="str">
        <x:v>安远县</x:v>
      </x:c>
      <x:c r="C2" s="14" t="n">
        <x:v>14718</x:v>
      </x:c>
      <x:c r="D2" s="14" t="n">
        <x:v>21070</x:v>
      </x:c>
      <x:c r="E2" s="32" t="n">
        <x:f>SUM(C2:D2)</x:f>
        <x:v>35788</x:v>
      </x:c>
      <x:c r="F2" s="14"/>
      <x:c r="G2" t="str">
        <x:v>2025年预算执行情况</x:v>
      </x:c>
      <x:c r="H2" t="str">
        <x:v>否</x:v>
      </x:c>
      <x:c r="I2" t="str">
        <x:v>https://www.ay.gov.cn/ayxxxgk/czyjskr/202603/76094f623db3446c9c65be0bb1225bd7.shtml</x:v>
      </x:c>
      <x:c r="J2" t="str">
        <x:v>两项均是养老基金预算支出，不等于全部属于养老金发放额；企业职工基金缺值。</x:v>
      </x:c>
    </x:row>
    <x:row r="3" ht="21" customHeight="1">
      <x:c r="A3" t="str">
        <x:v>九江市</x:v>
      </x:c>
      <x:c r="B3" t="str">
        <x:v>湖口县</x:v>
      </x:c>
      <x:c r="C3" s="14" t="n">
        <x:v>12646</x:v>
      </x:c>
      <x:c r="D3" s="14" t="n">
        <x:v>24488</x:v>
      </x:c>
      <x:c r="E3" s="32" t="n">
        <x:f>SUM(C3:D3)</x:f>
        <x:v>37134</x:v>
      </x:c>
      <x:c r="F3" s="14"/>
      <x:c r="G3" t="str">
        <x:v>2025年预算执行情况</x:v>
      </x:c>
      <x:c r="H3" t="str">
        <x:v>否</x:v>
      </x:c>
      <x:c r="I3" t="str">
        <x:v>https://www.hukou.gov.cn/czj/fdzdgknr/czxx/xbjczyjs/202602/t20260213_7166077.html</x:v>
      </x:c>
      <x:c r="J3" t="str">
        <x:v>来源原文总支出单位疑似笔误；以两项基金公布数值为准，不用错误总数。</x:v>
      </x:c>
    </x:row>
  </x:sheetData>
  <x:pageMargins left="0.7" right="0.7" top="0.75" bottom="0.75" header="0.3" footer="0.3"/>
  <x:tableParts count="1">
    <x:tablePart xmlns:r="http://schemas.openxmlformats.org/officeDocument/2006/relationships" r:id="R0222e66255a442fa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2" hidden="0" customWidth="1"/>
    <x:col min="4" max="4" width="13" hidden="0" customWidth="1"/>
    <x:col min="5" max="5" width="38" hidden="0" customWidth="1"/>
    <x:col min="6" max="6" width="48" hidden="0" customWidth="1"/>
    <x:col min="7" max="7" width="55" hidden="0" customWidth="1"/>
  </x:cols>
  <x:sheetData>
    <x:row r="1" ht="32" customHeight="1">
      <x:c r="A1" s="6" t="str">
        <x:v>指标</x:v>
      </x:c>
      <x:c r="B1" s="6" t="str">
        <x:v>时点/期间</x:v>
      </x:c>
      <x:c r="C1" s="6" t="str">
        <x:v>数值</x:v>
      </x:c>
      <x:c r="D1" s="6" t="str">
        <x:v>单位</x:v>
      </x:c>
      <x:c r="E1" s="6" t="str">
        <x:v>材料名称</x:v>
      </x:c>
      <x:c r="F1" s="6" t="str">
        <x:v>URL</x:v>
      </x:c>
      <x:c r="G1" s="6" t="str">
        <x:v>说明</x:v>
      </x:c>
    </x:row>
    <x:row r="2" ht="21" customHeight="1">
      <x:c r="A2" t="str">
        <x:v>常住人口</x:v>
      </x:c>
      <x:c r="B2" t="str">
        <x:v>2025年末</x:v>
      </x:c>
      <x:c r="C2" s="16" t="n">
        <x:v>44740000</x:v>
      </x:c>
      <x:c r="D2" t="str">
        <x:v>人</x:v>
      </x:c>
      <x:c r="E2" t="str">
        <x:v>2025年全省国民经济和社会发展统计公报</x:v>
      </x:c>
      <x:c r="F2" t="str">
        <x:v>https://finance.sina.com.cn/wm/2026-03-27/doc-inhskwcv9590288.shtml</x:v>
      </x:c>
      <x:c r="G2" t="str">
        <x:v>约4474万人；保留官方报告的万人换算精度</x:v>
      </x:c>
    </x:row>
    <x:row r="3" ht="21" customHeight="1">
      <x:c r="A3" t="str">
        <x:v>城镇常住人口</x:v>
      </x:c>
      <x:c r="B3" t="str">
        <x:v>2025年末</x:v>
      </x:c>
      <x:c r="C3" s="16" t="n">
        <x:v>28990000</x:v>
      </x:c>
      <x:c r="D3" t="str">
        <x:v>人</x:v>
      </x:c>
      <x:c r="E3" t="str">
        <x:v>2025年全省统计公报</x:v>
      </x:c>
      <x:c r="F3" t="str">
        <x:v>https://finance.sina.com.cn/wm/2026-03-27/doc-inhskwcv9590288.shtml</x:v>
      </x:c>
      <x:c r="G3" t="str">
        <x:v>约2899万人</x:v>
      </x:c>
    </x:row>
    <x:row r="4" ht="21" customHeight="1">
      <x:c r="A4" t="str">
        <x:v>GDP</x:v>
      </x:c>
      <x:c r="B4" t="str">
        <x:v>2025年</x:v>
      </x:c>
      <x:c r="C4" s="16" t="n">
        <x:v>36020</x:v>
      </x:c>
      <x:c r="D4" t="str">
        <x:v>亿元</x:v>
      </x:c>
      <x:c r="E4" t="str">
        <x:v>2025年全省统计公报</x:v>
      </x:c>
      <x:c r="F4" t="str">
        <x:v>https://finance.sina.com.cn/wm/2026-03-27/doc-inhskwcv9590288.shtml</x:v>
      </x:c>
      <x:c r="G4" t="str"/>
    </x:row>
    <x:row r="5" ht="21" customHeight="1">
      <x:c r="A5" t="str">
        <x:v>城镇新增就业</x:v>
      </x:c>
      <x:c r="B5" t="str">
        <x:v>2025年全年</x:v>
      </x:c>
      <x:c r="C5" s="16" t="n">
        <x:v>485000</x:v>
      </x:c>
      <x:c r="D5" t="str">
        <x:v>人</x:v>
      </x:c>
      <x:c r="E5" t="str">
        <x:v>2025年全省统计公报</x:v>
      </x:c>
      <x:c r="F5" t="str">
        <x:v>https://finance.sina.com.cn/wm/2026-03-27/doc-inhskwcv9590288.shtml</x:v>
      </x:c>
      <x:c r="G5" t="str">
        <x:v>48.5万人</x:v>
      </x:c>
    </x:row>
    <x:row r="6" ht="21" customHeight="1">
      <x:c r="A6" t="str">
        <x:v>失业人员再就业</x:v>
      </x:c>
      <x:c r="B6" t="str">
        <x:v>2025年全年</x:v>
      </x:c>
      <x:c r="C6" s="16" t="n">
        <x:v>179000</x:v>
      </x:c>
      <x:c r="D6" t="str">
        <x:v>人</x:v>
      </x:c>
      <x:c r="E6" t="str">
        <x:v>2025年全省统计公报</x:v>
      </x:c>
      <x:c r="F6" t="str">
        <x:v>https://finance.sina.com.cn/wm/2026-03-27/doc-inhskwcv9590288.shtml</x:v>
      </x:c>
      <x:c r="G6" t="str">
        <x:v>17.9万人</x:v>
      </x:c>
    </x:row>
    <x:row r="7" ht="21" customHeight="1">
      <x:c r="A7" t="str">
        <x:v>就业困难人员就业</x:v>
      </x:c>
      <x:c r="B7" t="str">
        <x:v>2025年全年</x:v>
      </x:c>
      <x:c r="C7" s="16" t="n">
        <x:v>66000</x:v>
      </x:c>
      <x:c r="D7" t="str">
        <x:v>人</x:v>
      </x:c>
      <x:c r="E7" t="str">
        <x:v>2025年全省统计公报</x:v>
      </x:c>
      <x:c r="F7" t="str">
        <x:v>https://finance.sina.com.cn/wm/2026-03-27/doc-inhskwcv9590288.shtml</x:v>
      </x:c>
      <x:c r="G7" t="str">
        <x:v>6.6万人</x:v>
      </x:c>
    </x:row>
    <x:row r="8" ht="21" customHeight="1">
      <x:c r="A8" t="str">
        <x:v>城镇职工基本养老保险参保</x:v>
      </x:c>
      <x:c r="B8" t="str">
        <x:v>2025年末</x:v>
      </x:c>
      <x:c r="C8" s="16" t="n">
        <x:v>15178000</x:v>
      </x:c>
      <x:c r="D8" t="str">
        <x:v>人</x:v>
      </x:c>
      <x:c r="E8" t="str">
        <x:v>2025年全省统计公报</x:v>
      </x:c>
      <x:c r="F8" t="str">
        <x:v>https://finance.sina.com.cn/wm/2026-03-27/doc-inhskwcv9590288.shtml</x:v>
      </x:c>
      <x:c r="G8" t="str">
        <x:v>参保人数而非退休待遇领取人数</x:v>
      </x:c>
    </x:row>
    <x:row r="9" ht="21" customHeight="1">
      <x:c r="A9" t="str">
        <x:v>城乡居民基本养老保险参保</x:v>
      </x:c>
      <x:c r="B9" t="str">
        <x:v>2025年末</x:v>
      </x:c>
      <x:c r="C9" s="16" t="n">
        <x:v>19030000</x:v>
      </x:c>
      <x:c r="D9" t="str">
        <x:v>人</x:v>
      </x:c>
      <x:c r="E9" t="str">
        <x:v>2025年全省统计公报</x:v>
      </x:c>
      <x:c r="F9" t="str">
        <x:v>https://finance.sina.com.cn/wm/2026-03-27/doc-inhskwcv9590288.shtml</x:v>
      </x:c>
      <x:c r="G9" t="str">
        <x:v>参保人数而非退休待遇领取人数</x:v>
      </x:c>
    </x:row>
    <x:row r="10" ht="21" customHeight="1">
      <x:c r="A10" t="str">
        <x:v>公积金实缴人数</x:v>
      </x:c>
      <x:c r="B10" t="str">
        <x:v>2025年全年</x:v>
      </x:c>
      <x:c r="C10" s="16" t="n">
        <x:v>3537700</x:v>
      </x:c>
      <x:c r="D10" t="str">
        <x:v>人</x:v>
      </x:c>
      <x:c r="E10" t="str">
        <x:v>2025年江西省住房公积金年度报告</x:v>
      </x:c>
      <x:c r="F10" t="str">
        <x:v>https://jx.ifeng.com/c/8sk35lBJNwe</x:v>
      </x:c>
      <x:c r="G10" t="str"/>
    </x:row>
    <x:row r="11" ht="21" customHeight="1">
      <x:c r="A11" t="str">
        <x:v>公积金缴存额</x:v>
      </x:c>
      <x:c r="B11" t="str">
        <x:v>2025年全年</x:v>
      </x:c>
      <x:c r="C11" s="16" t="n">
        <x:v>728.52</x:v>
      </x:c>
      <x:c r="D11" t="str">
        <x:v>亿元</x:v>
      </x:c>
      <x:c r="E11" t="str">
        <x:v>2025年江西省住房公积金年度报告</x:v>
      </x:c>
      <x:c r="F11" t="str">
        <x:v>https://jx.ifeng.com/c/8sk35lBJNwe</x:v>
      </x:c>
      <x:c r="G11" t="str"/>
    </x:row>
    <x:row r="12" ht="21" customHeight="1">
      <x:c r="A12" t="str">
        <x:v>公积金提取额</x:v>
      </x:c>
      <x:c r="B12" t="str">
        <x:v>2025年全年</x:v>
      </x:c>
      <x:c r="C12" s="16" t="n">
        <x:v>503.42</x:v>
      </x:c>
      <x:c r="D12" t="str">
        <x:v>亿元</x:v>
      </x:c>
      <x:c r="E12" t="str">
        <x:v>2025年江西省住房公积金年度报告</x:v>
      </x:c>
      <x:c r="F12" t="str">
        <x:v>https://jx.ifeng.com/c/8sk35lBJNwe</x:v>
      </x:c>
      <x:c r="G12" t="str"/>
    </x:row>
    <x:row r="13" ht="21" customHeight="1">
      <x:c r="A13" t="str">
        <x:v>公积金个人住房贷款发放</x:v>
      </x:c>
      <x:c r="B13" t="str">
        <x:v>2025年全年</x:v>
      </x:c>
      <x:c r="C13" s="16" t="n">
        <x:v>282.16</x:v>
      </x:c>
      <x:c r="D13" t="str">
        <x:v>亿元</x:v>
      </x:c>
      <x:c r="E13" t="str">
        <x:v>2025年江西省住房公积金年度报告</x:v>
      </x:c>
      <x:c r="F13" t="str">
        <x:v>https://jx.ifeng.com/c/8sk35lBJNwe</x:v>
      </x:c>
      <x:c r="G13" t="str"/>
    </x:row>
  </x:sheetData>
  <x:pageMargins left="0.7" right="0.7" top="0.75" bottom="0.75" header="0.3" footer="0.3"/>
  <x:tableParts count="1">
    <x:tablePart xmlns:r="http://schemas.openxmlformats.org/officeDocument/2006/relationships" r:id="R65455de01b1f45f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3" hidden="0" customWidth="1"/>
    <x:col min="3" max="3" width="16" hidden="0" customWidth="1"/>
    <x:col min="4" max="4" width="18" hidden="0" customWidth="1"/>
    <x:col min="5" max="5" width="20" hidden="0" customWidth="1"/>
    <x:col min="6" max="6" width="37" hidden="0" customWidth="1"/>
    <x:col min="7" max="7" width="22" hidden="0" customWidth="1"/>
    <x:col min="8" max="8" width="11" hidden="0" customWidth="1"/>
    <x:col min="9" max="9" width="24" hidden="0" customWidth="1"/>
    <x:col min="10" max="10" width="30" hidden="0" customWidth="1"/>
    <x:col min="11" max="11" width="53" hidden="0" customWidth="1"/>
    <x:col min="12" max="12" width="60" hidden="0" customWidth="1"/>
  </x:cols>
  <x:sheetData>
    <x:row r="1" ht="32" customHeight="1">
      <x:c r="A1" s="6" t="str">
        <x:v>年份</x:v>
      </x:c>
      <x:c r="B1" s="6" t="str">
        <x:v>统计层级</x:v>
      </x:c>
      <x:c r="C1" s="6" t="str">
        <x:v>地级市</x:v>
      </x:c>
      <x:c r="D1" s="6" t="str">
        <x:v>地区</x:v>
      </x:c>
      <x:c r="E1" s="6" t="str">
        <x:v>指标主题</x:v>
      </x:c>
      <x:c r="F1" s="6" t="str">
        <x:v>指标名称</x:v>
      </x:c>
      <x:c r="G1" s="6" t="str">
        <x:v>原始/统一数值</x:v>
      </x:c>
      <x:c r="H1" s="6" t="str">
        <x:v>单位</x:v>
      </x:c>
      <x:c r="I1" s="6" t="str">
        <x:v>来源级别</x:v>
      </x:c>
      <x:c r="J1" s="6" t="str">
        <x:v>统计时点或口径</x:v>
      </x:c>
      <x:c r="K1" s="6" t="str">
        <x:v>来源URL</x:v>
      </x:c>
      <x:c r="L1" s="6" t="str">
        <x:v>口径备注</x:v>
      </x:c>
    </x:row>
    <x:row r="2" ht="21" customHeight="1">
      <x:c r="A2" t="n">
        <x:v>2025</x:v>
      </x:c>
      <x:c r="B2" t="str">
        <x:v>县级</x:v>
      </x:c>
      <x:c r="C2" t="str">
        <x:v>南昌市</x:v>
      </x:c>
      <x:c r="D2" t="str">
        <x:v>南昌县</x:v>
      </x:c>
      <x:c r="E2" t="str">
        <x:v>人口经济</x:v>
      </x:c>
      <x:c r="F2" t="str">
        <x:v>户籍人口_人</x:v>
      </x:c>
      <x:c r="G2" s="16" t="n">
        <x:v>1077976</x:v>
      </x:c>
      <x:c r="H2" t="str">
        <x:v>人</x:v>
      </x:c>
      <x:c r="I2" t="str">
        <x:v>政府官网</x:v>
      </x:c>
      <x:c r="J2" t="str">
        <x:v>2025年年末/全年，随指标定义</x:v>
      </x:c>
      <x:c r="K2" t="str">
        <x:v>https://ncx.nc.gov.cn/ncxrmzf/tjgb01h/202604/fd1aa6251dbf45ef8737d4553710064f.shtml</x:v>
      </x:c>
      <x:c r="L2" t="str"/>
    </x:row>
    <x:row r="3" ht="21" customHeight="1">
      <x:c r="A3" t="n">
        <x:v>2025</x:v>
      </x:c>
      <x:c r="B3" t="str">
        <x:v>县级</x:v>
      </x:c>
      <x:c r="C3" t="str">
        <x:v>南昌市</x:v>
      </x:c>
      <x:c r="D3" t="str">
        <x:v>南昌县</x:v>
      </x:c>
      <x:c r="E3" t="str">
        <x:v>人口经济</x:v>
      </x:c>
      <x:c r="F3" t="str">
        <x:v>GDP_亿元</x:v>
      </x:c>
      <x:c r="G3" s="16" t="n">
        <x:v>1461.21</x:v>
      </x:c>
      <x:c r="H3" t="str">
        <x:v>亿元</x:v>
      </x:c>
      <x:c r="I3" t="str">
        <x:v>政府官网</x:v>
      </x:c>
      <x:c r="J3" t="str">
        <x:v>2025年年末/全年，随指标定义</x:v>
      </x:c>
      <x:c r="K3" t="str">
        <x:v>https://ncx.nc.gov.cn/ncxrmzf/tjgb01h/202604/fd1aa6251dbf45ef8737d4553710064f.shtml</x:v>
      </x:c>
      <x:c r="L3" t="str"/>
    </x:row>
    <x:row r="4" ht="21" customHeight="1">
      <x:c r="A4" t="n">
        <x:v>2025</x:v>
      </x:c>
      <x:c r="B4" t="str">
        <x:v>县级</x:v>
      </x:c>
      <x:c r="C4" t="str">
        <x:v>南昌市</x:v>
      </x:c>
      <x:c r="D4" t="str">
        <x:v>南昌县</x:v>
      </x:c>
      <x:c r="E4" t="str">
        <x:v>就业</x:v>
      </x:c>
      <x:c r="F4" t="str">
        <x:v>城镇新增就业_人</x:v>
      </x:c>
      <x:c r="G4" s="16" t="n">
        <x:v>6919</x:v>
      </x:c>
      <x:c r="H4" t="str">
        <x:v>人</x:v>
      </x:c>
      <x:c r="I4" t="str">
        <x:v>政府官网</x:v>
      </x:c>
      <x:c r="J4" t="str">
        <x:v>2025年年末/全年，随指标定义</x:v>
      </x:c>
      <x:c r="K4" t="str">
        <x:v>https://ncx.nc.gov.cn/ncxrmzf/tjgb01h/202604/fd1aa6251dbf45ef8737d4553710064f.shtml</x:v>
      </x:c>
      <x:c r="L4" t="str"/>
    </x:row>
    <x:row r="5" ht="21" customHeight="1">
      <x:c r="A5" t="n">
        <x:v>2025</x:v>
      </x:c>
      <x:c r="B5" t="str">
        <x:v>县级</x:v>
      </x:c>
      <x:c r="C5" t="str">
        <x:v>南昌市</x:v>
      </x:c>
      <x:c r="D5" t="str">
        <x:v>南昌县</x:v>
      </x:c>
      <x:c r="E5" t="str">
        <x:v>人口经济</x:v>
      </x:c>
      <x:c r="F5" t="str">
        <x:v>城镇居民人均可支配收入_元</x:v>
      </x:c>
      <x:c r="G5" s="16" t="n">
        <x:v>55125</x:v>
      </x:c>
      <x:c r="H5" t="str">
        <x:v>元</x:v>
      </x:c>
      <x:c r="I5" t="str">
        <x:v>政府官网</x:v>
      </x:c>
      <x:c r="J5" t="str">
        <x:v>2025年年末/全年，随指标定义</x:v>
      </x:c>
      <x:c r="K5" t="str">
        <x:v>https://ncx.nc.gov.cn/ncxrmzf/tjgb01h/202604/fd1aa6251dbf45ef8737d4553710064f.shtml</x:v>
      </x:c>
      <x:c r="L5" t="str"/>
    </x:row>
    <x:row r="6" ht="21" customHeight="1">
      <x:c r="A6" t="n">
        <x:v>2025</x:v>
      </x:c>
      <x:c r="B6" t="str">
        <x:v>县级</x:v>
      </x:c>
      <x:c r="C6" t="str">
        <x:v>南昌市</x:v>
      </x:c>
      <x:c r="D6" t="str">
        <x:v>南昌县</x:v>
      </x:c>
      <x:c r="E6" t="str">
        <x:v>人口经济</x:v>
      </x:c>
      <x:c r="F6" t="str">
        <x:v>农村居民人均可支配收入_元</x:v>
      </x:c>
      <x:c r="G6" s="16" t="n">
        <x:v>32141</x:v>
      </x:c>
      <x:c r="H6" t="str">
        <x:v>元</x:v>
      </x:c>
      <x:c r="I6" t="str">
        <x:v>政府官网</x:v>
      </x:c>
      <x:c r="J6" t="str">
        <x:v>2025年年末/全年，随指标定义</x:v>
      </x:c>
      <x:c r="K6" t="str">
        <x:v>https://ncx.nc.gov.cn/ncxrmzf/tjgb01h/202604/fd1aa6251dbf45ef8737d4553710064f.shtml</x:v>
      </x:c>
      <x:c r="L6" t="str"/>
    </x:row>
    <x:row r="7" ht="21" customHeight="1">
      <x:c r="A7" t="n">
        <x:v>2025</x:v>
      </x:c>
      <x:c r="B7" t="str">
        <x:v>县级</x:v>
      </x:c>
      <x:c r="C7" t="str">
        <x:v>南昌市</x:v>
      </x:c>
      <x:c r="D7" t="str">
        <x:v>进贤县</x:v>
      </x:c>
      <x:c r="E7" t="str">
        <x:v>人口经济</x:v>
      </x:c>
      <x:c r="F7" t="str">
        <x:v>常住人口_人</x:v>
      </x:c>
      <x:c r="G7" s="16" t="n">
        <x:v>635000</x:v>
      </x:c>
      <x:c r="H7" t="str">
        <x:v>人</x:v>
      </x:c>
      <x:c r="I7" t="str">
        <x:v>二次转载</x:v>
      </x:c>
      <x:c r="J7" t="str">
        <x:v>2025年年末/全年，随指标定义</x:v>
      </x:c>
      <x:c r="K7" t="str">
        <x:v>https://tjgb.hongheiku.com/xjtjgb/xj2020/80003.html</x:v>
      </x:c>
      <x:c r="L7" t="str"/>
    </x:row>
    <x:row r="8" ht="21" customHeight="1">
      <x:c r="A8" t="n">
        <x:v>2025</x:v>
      </x:c>
      <x:c r="B8" t="str">
        <x:v>县级</x:v>
      </x:c>
      <x:c r="C8" t="str">
        <x:v>南昌市</x:v>
      </x:c>
      <x:c r="D8" t="str">
        <x:v>进贤县</x:v>
      </x:c>
      <x:c r="E8" t="str">
        <x:v>人口经济</x:v>
      </x:c>
      <x:c r="F8" t="str">
        <x:v>城镇常住人口_人</x:v>
      </x:c>
      <x:c r="G8" s="16" t="n">
        <x:v>342000</x:v>
      </x:c>
      <x:c r="H8" t="str">
        <x:v>人</x:v>
      </x:c>
      <x:c r="I8" t="str">
        <x:v>二次转载</x:v>
      </x:c>
      <x:c r="J8" t="str">
        <x:v>2025年年末/全年，随指标定义</x:v>
      </x:c>
      <x:c r="K8" t="str">
        <x:v>https://tjgb.hongheiku.com/xjtjgb/xj2020/80003.html</x:v>
      </x:c>
      <x:c r="L8" t="str"/>
    </x:row>
    <x:row r="9" ht="21" customHeight="1">
      <x:c r="A9" t="n">
        <x:v>2025</x:v>
      </x:c>
      <x:c r="B9" t="str">
        <x:v>县级</x:v>
      </x:c>
      <x:c r="C9" t="str">
        <x:v>南昌市</x:v>
      </x:c>
      <x:c r="D9" t="str">
        <x:v>进贤县</x:v>
      </x:c>
      <x:c r="E9" t="str">
        <x:v>人口经济</x:v>
      </x:c>
      <x:c r="F9" t="str">
        <x:v>户籍人口_人</x:v>
      </x:c>
      <x:c r="G9" s="16" t="n">
        <x:v>822100</x:v>
      </x:c>
      <x:c r="H9" t="str">
        <x:v>人</x:v>
      </x:c>
      <x:c r="I9" t="str">
        <x:v>二次转载</x:v>
      </x:c>
      <x:c r="J9" t="str">
        <x:v>2025年年末/全年，随指标定义</x:v>
      </x:c>
      <x:c r="K9" t="str">
        <x:v>https://tjgb.hongheiku.com/xjtjgb/xj2020/80003.html</x:v>
      </x:c>
      <x:c r="L9" t="str"/>
    </x:row>
    <x:row r="10" ht="21" customHeight="1">
      <x:c r="A10" t="n">
        <x:v>2025</x:v>
      </x:c>
      <x:c r="B10" t="str">
        <x:v>县级</x:v>
      </x:c>
      <x:c r="C10" t="str">
        <x:v>南昌市</x:v>
      </x:c>
      <x:c r="D10" t="str">
        <x:v>进贤县</x:v>
      </x:c>
      <x:c r="E10" t="str">
        <x:v>人口经济</x:v>
      </x:c>
      <x:c r="F10" t="str">
        <x:v>GDP_亿元</x:v>
      </x:c>
      <x:c r="G10" s="16" t="n">
        <x:v>402.22</x:v>
      </x:c>
      <x:c r="H10" t="str">
        <x:v>亿元</x:v>
      </x:c>
      <x:c r="I10" t="str">
        <x:v>二次转载</x:v>
      </x:c>
      <x:c r="J10" t="str">
        <x:v>2025年年末/全年，随指标定义</x:v>
      </x:c>
      <x:c r="K10" t="str">
        <x:v>https://tjgb.hongheiku.com/xjtjgb/xj2020/80003.html</x:v>
      </x:c>
      <x:c r="L10" t="str"/>
    </x:row>
    <x:row r="11" ht="21" customHeight="1">
      <x:c r="A11" t="n">
        <x:v>2025</x:v>
      </x:c>
      <x:c r="B11" t="str">
        <x:v>县级</x:v>
      </x:c>
      <x:c r="C11" t="str">
        <x:v>南昌市</x:v>
      </x:c>
      <x:c r="D11" t="str">
        <x:v>进贤县</x:v>
      </x:c>
      <x:c r="E11" t="str">
        <x:v>人口经济</x:v>
      </x:c>
      <x:c r="F11" t="str">
        <x:v>城镇居民人均可支配收入_元</x:v>
      </x:c>
      <x:c r="G11" s="16" t="n">
        <x:v>50409</x:v>
      </x:c>
      <x:c r="H11" t="str">
        <x:v>元</x:v>
      </x:c>
      <x:c r="I11" t="str">
        <x:v>二次转载</x:v>
      </x:c>
      <x:c r="J11" t="str">
        <x:v>2025年年末/全年，随指标定义</x:v>
      </x:c>
      <x:c r="K11" t="str">
        <x:v>https://tjgb.hongheiku.com/xjtjgb/xj2020/80003.html</x:v>
      </x:c>
      <x:c r="L11" t="str"/>
    </x:row>
    <x:row r="12" ht="21" customHeight="1">
      <x:c r="A12" t="n">
        <x:v>2025</x:v>
      </x:c>
      <x:c r="B12" t="str">
        <x:v>县级</x:v>
      </x:c>
      <x:c r="C12" t="str">
        <x:v>南昌市</x:v>
      </x:c>
      <x:c r="D12" t="str">
        <x:v>进贤县</x:v>
      </x:c>
      <x:c r="E12" t="str">
        <x:v>人口经济</x:v>
      </x:c>
      <x:c r="F12" t="str">
        <x:v>农村居民人均可支配收入_元</x:v>
      </x:c>
      <x:c r="G12" s="16" t="n">
        <x:v>29619</x:v>
      </x:c>
      <x:c r="H12" t="str">
        <x:v>元</x:v>
      </x:c>
      <x:c r="I12" t="str">
        <x:v>二次转载</x:v>
      </x:c>
      <x:c r="J12" t="str">
        <x:v>2025年年末/全年，随指标定义</x:v>
      </x:c>
      <x:c r="K12" t="str">
        <x:v>https://tjgb.hongheiku.com/xjtjgb/xj2020/80003.html</x:v>
      </x:c>
      <x:c r="L12" t="str"/>
    </x:row>
    <x:row r="13" ht="21" customHeight="1">
      <x:c r="A13" t="n">
        <x:v>2025</x:v>
      </x:c>
      <x:c r="B13" t="str">
        <x:v>县级</x:v>
      </x:c>
      <x:c r="C13" t="str">
        <x:v>景德镇市</x:v>
      </x:c>
      <x:c r="D13" t="str">
        <x:v>浮梁县</x:v>
      </x:c>
      <x:c r="E13" t="str">
        <x:v>人口经济</x:v>
      </x:c>
      <x:c r="F13" t="str">
        <x:v>常住人口_人</x:v>
      </x:c>
      <x:c r="G13" s="16" t="n">
        <x:v>275868</x:v>
      </x:c>
      <x:c r="H13" t="str">
        <x:v>人</x:v>
      </x:c>
      <x:c r="I13" t="str">
        <x:v>政府官网（概况页面）</x:v>
      </x:c>
      <x:c r="J13" t="str">
        <x:v>2025年年末/全年，随指标定义</x:v>
      </x:c>
      <x:c r="K13" t="str">
        <x:v>https://www.fuliang.gov.cn/zjfl/</x:v>
      </x:c>
      <x:c r="L13" t="str"/>
    </x:row>
    <x:row r="14" ht="21" customHeight="1">
      <x:c r="A14" t="n">
        <x:v>2025</x:v>
      </x:c>
      <x:c r="B14" t="str">
        <x:v>县级</x:v>
      </x:c>
      <x:c r="C14" t="str">
        <x:v>景德镇市</x:v>
      </x:c>
      <x:c r="D14" t="str">
        <x:v>浮梁县</x:v>
      </x:c>
      <x:c r="E14" t="str">
        <x:v>人口经济</x:v>
      </x:c>
      <x:c r="F14" t="str">
        <x:v>城镇常住人口_人</x:v>
      </x:c>
      <x:c r="G14" s="16" t="n">
        <x:v>186465</x:v>
      </x:c>
      <x:c r="H14" t="str">
        <x:v>人</x:v>
      </x:c>
      <x:c r="I14" t="str">
        <x:v>政府官网（概况页面）</x:v>
      </x:c>
      <x:c r="J14" t="str">
        <x:v>2025年年末/全年，随指标定义</x:v>
      </x:c>
      <x:c r="K14" t="str">
        <x:v>https://www.fuliang.gov.cn/zjfl/</x:v>
      </x:c>
      <x:c r="L14" t="str"/>
    </x:row>
    <x:row r="15" ht="21" customHeight="1">
      <x:c r="A15" t="n">
        <x:v>2025</x:v>
      </x:c>
      <x:c r="B15" t="str">
        <x:v>县级</x:v>
      </x:c>
      <x:c r="C15" t="str">
        <x:v>景德镇市</x:v>
      </x:c>
      <x:c r="D15" t="str">
        <x:v>浮梁县</x:v>
      </x:c>
      <x:c r="E15" t="str">
        <x:v>人口经济</x:v>
      </x:c>
      <x:c r="F15" t="str">
        <x:v>60岁及以上人口_人</x:v>
      </x:c>
      <x:c r="G15" s="16" t="n">
        <x:v>56133</x:v>
      </x:c>
      <x:c r="H15" t="str">
        <x:v>人</x:v>
      </x:c>
      <x:c r="I15" t="str">
        <x:v>政府官网（概况页面）</x:v>
      </x:c>
      <x:c r="J15" t="str">
        <x:v>2025年年末/全年，随指标定义</x:v>
      </x:c>
      <x:c r="K15" t="str">
        <x:v>https://www.fuliang.gov.cn/zjfl/</x:v>
      </x:c>
      <x:c r="L15" t="str"/>
    </x:row>
    <x:row r="16" ht="21" customHeight="1">
      <x:c r="A16" t="n">
        <x:v>2025</x:v>
      </x:c>
      <x:c r="B16" t="str">
        <x:v>县级</x:v>
      </x:c>
      <x:c r="C16" t="str">
        <x:v>景德镇市</x:v>
      </x:c>
      <x:c r="D16" t="str">
        <x:v>浮梁县</x:v>
      </x:c>
      <x:c r="E16" t="str">
        <x:v>人口经济</x:v>
      </x:c>
      <x:c r="F16" t="str">
        <x:v>65岁及以上人口_人</x:v>
      </x:c>
      <x:c r="G16" s="16" t="n">
        <x:v>36788</x:v>
      </x:c>
      <x:c r="H16" t="str">
        <x:v>人</x:v>
      </x:c>
      <x:c r="I16" t="str">
        <x:v>政府官网（概况页面）</x:v>
      </x:c>
      <x:c r="J16" t="str">
        <x:v>2025年年末/全年，随指标定义</x:v>
      </x:c>
      <x:c r="K16" t="str">
        <x:v>https://www.fuliang.gov.cn/zjfl/</x:v>
      </x:c>
      <x:c r="L16" t="str"/>
    </x:row>
    <x:row r="17" ht="21" customHeight="1">
      <x:c r="A17" t="n">
        <x:v>2025</x:v>
      </x:c>
      <x:c r="B17" t="str">
        <x:v>县级</x:v>
      </x:c>
      <x:c r="C17" t="str">
        <x:v>景德镇市</x:v>
      </x:c>
      <x:c r="D17" t="str">
        <x:v>浮梁县</x:v>
      </x:c>
      <x:c r="E17" t="str">
        <x:v>人口经济</x:v>
      </x:c>
      <x:c r="F17" t="str">
        <x:v>GDP_亿元</x:v>
      </x:c>
      <x:c r="G17" s="16" t="n">
        <x:v>191.31</x:v>
      </x:c>
      <x:c r="H17" t="str">
        <x:v>亿元</x:v>
      </x:c>
      <x:c r="I17" t="str">
        <x:v>政府官网（概况页面）</x:v>
      </x:c>
      <x:c r="J17" t="str">
        <x:v>2025年年末/全年，随指标定义</x:v>
      </x:c>
      <x:c r="K17" t="str">
        <x:v>https://www.fuliang.gov.cn/zjfl/</x:v>
      </x:c>
      <x:c r="L17" t="str"/>
    </x:row>
    <x:row r="18" ht="21" customHeight="1">
      <x:c r="A18" t="n">
        <x:v>2025</x:v>
      </x:c>
      <x:c r="B18" t="str">
        <x:v>县级</x:v>
      </x:c>
      <x:c r="C18" t="str">
        <x:v>景德镇市</x:v>
      </x:c>
      <x:c r="D18" t="str">
        <x:v>浮梁县</x:v>
      </x:c>
      <x:c r="E18" t="str">
        <x:v>就业</x:v>
      </x:c>
      <x:c r="F18" t="str">
        <x:v>城镇新增就业_人</x:v>
      </x:c>
      <x:c r="G18" s="16" t="n">
        <x:v>2954</x:v>
      </x:c>
      <x:c r="H18" t="str">
        <x:v>人</x:v>
      </x:c>
      <x:c r="I18" t="str">
        <x:v>政府官网（概况页面）</x:v>
      </x:c>
      <x:c r="J18" t="str">
        <x:v>2025年年末/全年，随指标定义</x:v>
      </x:c>
      <x:c r="K18" t="str">
        <x:v>https://www.fuliang.gov.cn/zjfl/</x:v>
      </x:c>
      <x:c r="L18" t="str"/>
    </x:row>
    <x:row r="19" ht="21" customHeight="1">
      <x:c r="A19" t="n">
        <x:v>2025</x:v>
      </x:c>
      <x:c r="B19" t="str">
        <x:v>县级</x:v>
      </x:c>
      <x:c r="C19" t="str">
        <x:v>景德镇市</x:v>
      </x:c>
      <x:c r="D19" t="str">
        <x:v>浮梁县</x:v>
      </x:c>
      <x:c r="E19" t="str">
        <x:v>就业</x:v>
      </x:c>
      <x:c r="F19" t="str">
        <x:v>失业人员再就业_人</x:v>
      </x:c>
      <x:c r="G19" s="16" t="n">
        <x:v>1365</x:v>
      </x:c>
      <x:c r="H19" t="str">
        <x:v>人</x:v>
      </x:c>
      <x:c r="I19" t="str">
        <x:v>政府官网（概况页面）</x:v>
      </x:c>
      <x:c r="J19" t="str">
        <x:v>2025年年末/全年，随指标定义</x:v>
      </x:c>
      <x:c r="K19" t="str">
        <x:v>https://www.fuliang.gov.cn/zjfl/</x:v>
      </x:c>
      <x:c r="L19" t="str"/>
    </x:row>
    <x:row r="20" ht="21" customHeight="1">
      <x:c r="A20" t="n">
        <x:v>2025</x:v>
      </x:c>
      <x:c r="B20" t="str">
        <x:v>县级</x:v>
      </x:c>
      <x:c r="C20" t="str">
        <x:v>景德镇市</x:v>
      </x:c>
      <x:c r="D20" t="str">
        <x:v>浮梁县</x:v>
      </x:c>
      <x:c r="E20" t="str">
        <x:v>就业</x:v>
      </x:c>
      <x:c r="F20" t="str">
        <x:v>就业困难人员就业_人</x:v>
      </x:c>
      <x:c r="G20" s="16" t="n">
        <x:v>435</x:v>
      </x:c>
      <x:c r="H20" t="str">
        <x:v>人</x:v>
      </x:c>
      <x:c r="I20" t="str">
        <x:v>政府官网（概况页面）</x:v>
      </x:c>
      <x:c r="J20" t="str">
        <x:v>2025年年末/全年，随指标定义</x:v>
      </x:c>
      <x:c r="K20" t="str">
        <x:v>https://www.fuliang.gov.cn/zjfl/</x:v>
      </x:c>
      <x:c r="L20" t="str"/>
    </x:row>
    <x:row r="21" ht="21" customHeight="1">
      <x:c r="A21" t="n">
        <x:v>2025</x:v>
      </x:c>
      <x:c r="B21" t="str">
        <x:v>县级</x:v>
      </x:c>
      <x:c r="C21" t="str">
        <x:v>萍乡市</x:v>
      </x:c>
      <x:c r="D21" t="str">
        <x:v>湘东区</x:v>
      </x:c>
      <x:c r="E21" t="str">
        <x:v>就业</x:v>
      </x:c>
      <x:c r="F21" t="str">
        <x:v>城镇新增就业_人</x:v>
      </x:c>
      <x:c r="G21" s="16" t="n">
        <x:v>2678</x:v>
      </x:c>
      <x:c r="H21" t="str">
        <x:v>人</x:v>
      </x:c>
      <x:c r="I21" t="str">
        <x:v>二次转载</x:v>
      </x:c>
      <x:c r="J21" t="str">
        <x:v>2025年年末/全年，随指标定义</x:v>
      </x:c>
      <x:c r="K21" t="str">
        <x:v>https://tjgb.hongheiku.com/xjtjgb/xj2020/77691.html</x:v>
      </x:c>
      <x:c r="L21" t="str">
        <x:v>三类养老参保人数均含该制度中相关待遇领取人员；不能与仅在职参保口径直接比较。</x:v>
      </x:c>
    </x:row>
    <x:row r="22" ht="21" customHeight="1">
      <x:c r="A22" t="n">
        <x:v>2025</x:v>
      </x:c>
      <x:c r="B22" t="str">
        <x:v>县级</x:v>
      </x:c>
      <x:c r="C22" t="str">
        <x:v>萍乡市</x:v>
      </x:c>
      <x:c r="D22" t="str">
        <x:v>湘东区</x:v>
      </x:c>
      <x:c r="E22" t="str">
        <x:v>人口经济</x:v>
      </x:c>
      <x:c r="F22" t="str">
        <x:v>城镇居民人均可支配收入_元</x:v>
      </x:c>
      <x:c r="G22" s="16" t="n">
        <x:v>51528</x:v>
      </x:c>
      <x:c r="H22" t="str">
        <x:v>元</x:v>
      </x:c>
      <x:c r="I22" t="str">
        <x:v>二次转载</x:v>
      </x:c>
      <x:c r="J22" t="str">
        <x:v>2025年年末/全年，随指标定义</x:v>
      </x:c>
      <x:c r="K22" t="str">
        <x:v>https://tjgb.hongheiku.com/xjtjgb/xj2020/77691.html</x:v>
      </x:c>
      <x:c r="L22" t="str">
        <x:v>三类养老参保人数均含该制度中相关待遇领取人员；不能与仅在职参保口径直接比较。</x:v>
      </x:c>
    </x:row>
    <x:row r="23" ht="21" customHeight="1">
      <x:c r="A23" t="n">
        <x:v>2025</x:v>
      </x:c>
      <x:c r="B23" t="str">
        <x:v>县级</x:v>
      </x:c>
      <x:c r="C23" t="str">
        <x:v>萍乡市</x:v>
      </x:c>
      <x:c r="D23" t="str">
        <x:v>湘东区</x:v>
      </x:c>
      <x:c r="E23" t="str">
        <x:v>人口经济</x:v>
      </x:c>
      <x:c r="F23" t="str">
        <x:v>农村居民人均可支配收入_元</x:v>
      </x:c>
      <x:c r="G23" s="16" t="n">
        <x:v>29410</x:v>
      </x:c>
      <x:c r="H23" t="str">
        <x:v>元</x:v>
      </x:c>
      <x:c r="I23" t="str">
        <x:v>二次转载</x:v>
      </x:c>
      <x:c r="J23" t="str">
        <x:v>2025年年末/全年，随指标定义</x:v>
      </x:c>
      <x:c r="K23" t="str">
        <x:v>https://tjgb.hongheiku.com/xjtjgb/xj2020/77691.html</x:v>
      </x:c>
      <x:c r="L23" t="str">
        <x:v>三类养老参保人数均含该制度中相关待遇领取人员；不能与仅在职参保口径直接比较。</x:v>
      </x:c>
    </x:row>
    <x:row r="24" ht="21" customHeight="1">
      <x:c r="A24" t="n">
        <x:v>2025</x:v>
      </x:c>
      <x:c r="B24" t="str">
        <x:v>县级</x:v>
      </x:c>
      <x:c r="C24" t="str">
        <x:v>萍乡市</x:v>
      </x:c>
      <x:c r="D24" t="str">
        <x:v>湘东区</x:v>
      </x:c>
      <x:c r="E24" t="str">
        <x:v>养老保险</x:v>
      </x:c>
      <x:c r="F24" t="str">
        <x:v>企业职工养老参保_人</x:v>
      </x:c>
      <x:c r="G24" s="16" t="n">
        <x:v>88669</x:v>
      </x:c>
      <x:c r="H24" t="str">
        <x:v>人</x:v>
      </x:c>
      <x:c r="I24" t="str">
        <x:v>二次转载</x:v>
      </x:c>
      <x:c r="J24" t="str">
        <x:v>2025年年末/全年，随指标定义</x:v>
      </x:c>
      <x:c r="K24" t="str">
        <x:v>https://tjgb.hongheiku.com/xjtjgb/xj2020/77691.html</x:v>
      </x:c>
      <x:c r="L24" t="str">
        <x:v>三类养老参保人数均含该制度中相关待遇领取人员；不能与仅在职参保口径直接比较。</x:v>
      </x:c>
    </x:row>
    <x:row r="25" ht="21" customHeight="1">
      <x:c r="A25" t="n">
        <x:v>2025</x:v>
      </x:c>
      <x:c r="B25" t="str">
        <x:v>县级</x:v>
      </x:c>
      <x:c r="C25" t="str">
        <x:v>萍乡市</x:v>
      </x:c>
      <x:c r="D25" t="str">
        <x:v>湘东区</x:v>
      </x:c>
      <x:c r="E25" t="str">
        <x:v>养老保险</x:v>
      </x:c>
      <x:c r="F25" t="str">
        <x:v>机关事业养老参保_人</x:v>
      </x:c>
      <x:c r="G25" s="16" t="n">
        <x:v>10270</x:v>
      </x:c>
      <x:c r="H25" t="str">
        <x:v>人</x:v>
      </x:c>
      <x:c r="I25" t="str">
        <x:v>二次转载</x:v>
      </x:c>
      <x:c r="J25" t="str">
        <x:v>2025年年末/全年，随指标定义</x:v>
      </x:c>
      <x:c r="K25" t="str">
        <x:v>https://tjgb.hongheiku.com/xjtjgb/xj2020/77691.html</x:v>
      </x:c>
      <x:c r="L25" t="str">
        <x:v>三类养老参保人数均含该制度中相关待遇领取人员；不能与仅在职参保口径直接比较。</x:v>
      </x:c>
    </x:row>
    <x:row r="26" ht="21" customHeight="1">
      <x:c r="A26" t="n">
        <x:v>2025</x:v>
      </x:c>
      <x:c r="B26" t="str">
        <x:v>县级</x:v>
      </x:c>
      <x:c r="C26" t="str">
        <x:v>萍乡市</x:v>
      </x:c>
      <x:c r="D26" t="str">
        <x:v>湘东区</x:v>
      </x:c>
      <x:c r="E26" t="str">
        <x:v>养老保险</x:v>
      </x:c>
      <x:c r="F26" t="str">
        <x:v>城乡居民养老参保_人</x:v>
      </x:c>
      <x:c r="G26" s="16" t="n">
        <x:v>134932</x:v>
      </x:c>
      <x:c r="H26" t="str">
        <x:v>人</x:v>
      </x:c>
      <x:c r="I26" t="str">
        <x:v>二次转载</x:v>
      </x:c>
      <x:c r="J26" t="str">
        <x:v>2025年年末/全年，随指标定义</x:v>
      </x:c>
      <x:c r="K26" t="str">
        <x:v>https://tjgb.hongheiku.com/xjtjgb/xj2020/77691.html</x:v>
      </x:c>
      <x:c r="L26" t="str">
        <x:v>三类养老参保人数均含该制度中相关待遇领取人员；不能与仅在职参保口径直接比较。</x:v>
      </x:c>
    </x:row>
    <x:row r="27" ht="21" customHeight="1">
      <x:c r="A27" t="n">
        <x:v>2025</x:v>
      </x:c>
      <x:c r="B27" t="str">
        <x:v>县级</x:v>
      </x:c>
      <x:c r="C27" t="str">
        <x:v>萍乡市</x:v>
      </x:c>
      <x:c r="D27" t="str">
        <x:v>湘东区</x:v>
      </x:c>
      <x:c r="E27" t="str">
        <x:v>养老保险</x:v>
      </x:c>
      <x:c r="F27" t="str">
        <x:v>企业离退休待遇人数_人</x:v>
      </x:c>
      <x:c r="G27" s="16" t="n">
        <x:v>31160</x:v>
      </x:c>
      <x:c r="H27" t="str">
        <x:v>人</x:v>
      </x:c>
      <x:c r="I27" t="str">
        <x:v>二次转载</x:v>
      </x:c>
      <x:c r="J27" t="str">
        <x:v>2025年年末/全年，随指标定义</x:v>
      </x:c>
      <x:c r="K27" t="str">
        <x:v>https://tjgb.hongheiku.com/xjtjgb/xj2020/77691.html</x:v>
      </x:c>
      <x:c r="L27" t="str">
        <x:v>三类养老参保人数均含该制度中相关待遇领取人员；不能与仅在职参保口径直接比较。</x:v>
      </x:c>
    </x:row>
    <x:row r="28" ht="21" customHeight="1">
      <x:c r="A28" t="n">
        <x:v>2025</x:v>
      </x:c>
      <x:c r="B28" t="str">
        <x:v>县级</x:v>
      </x:c>
      <x:c r="C28" t="str">
        <x:v>萍乡市</x:v>
      </x:c>
      <x:c r="D28" t="str">
        <x:v>湘东区</x:v>
      </x:c>
      <x:c r="E28" t="str">
        <x:v>养老保险</x:v>
      </x:c>
      <x:c r="F28" t="str">
        <x:v>机关事业退休待遇人数_人</x:v>
      </x:c>
      <x:c r="G28" s="16" t="n">
        <x:v>3729</x:v>
      </x:c>
      <x:c r="H28" t="str">
        <x:v>人</x:v>
      </x:c>
      <x:c r="I28" t="str">
        <x:v>二次转载</x:v>
      </x:c>
      <x:c r="J28" t="str">
        <x:v>2025年年末/全年，随指标定义</x:v>
      </x:c>
      <x:c r="K28" t="str">
        <x:v>https://tjgb.hongheiku.com/xjtjgb/xj2020/77691.html</x:v>
      </x:c>
      <x:c r="L28" t="str">
        <x:v>三类养老参保人数均含该制度中相关待遇领取人员；不能与仅在职参保口径直接比较。</x:v>
      </x:c>
    </x:row>
    <x:row r="29" ht="21" customHeight="1">
      <x:c r="A29" t="n">
        <x:v>2025</x:v>
      </x:c>
      <x:c r="B29" t="str">
        <x:v>县级</x:v>
      </x:c>
      <x:c r="C29" t="str">
        <x:v>萍乡市</x:v>
      </x:c>
      <x:c r="D29" t="str">
        <x:v>湘东区</x:v>
      </x:c>
      <x:c r="E29" t="str">
        <x:v>养老保险</x:v>
      </x:c>
      <x:c r="F29" t="str">
        <x:v>城乡居民养老金领取人数_人</x:v>
      </x:c>
      <x:c r="G29" s="16" t="n">
        <x:v>53799</x:v>
      </x:c>
      <x:c r="H29" t="str">
        <x:v>人</x:v>
      </x:c>
      <x:c r="I29" t="str">
        <x:v>二次转载</x:v>
      </x:c>
      <x:c r="J29" t="str">
        <x:v>2025年年末/全年，随指标定义</x:v>
      </x:c>
      <x:c r="K29" t="str">
        <x:v>https://tjgb.hongheiku.com/xjtjgb/xj2020/77691.html</x:v>
      </x:c>
      <x:c r="L29" t="str">
        <x:v>三类养老参保人数均含该制度中相关待遇领取人员；不能与仅在职参保口径直接比较。</x:v>
      </x:c>
    </x:row>
    <x:row r="30" ht="21" customHeight="1">
      <x:c r="A30" t="n">
        <x:v>2025</x:v>
      </x:c>
      <x:c r="B30" t="str">
        <x:v>县级</x:v>
      </x:c>
      <x:c r="C30" t="str">
        <x:v>九江市</x:v>
      </x:c>
      <x:c r="D30" t="str">
        <x:v>武宁县</x:v>
      </x:c>
      <x:c r="E30" t="str">
        <x:v>人口经济</x:v>
      </x:c>
      <x:c r="F30" t="str">
        <x:v>常住人口_人</x:v>
      </x:c>
      <x:c r="G30" s="16" t="n">
        <x:v>299219</x:v>
      </x:c>
      <x:c r="H30" t="str">
        <x:v>人</x:v>
      </x:c>
      <x:c r="I30" t="str">
        <x:v>二次转载</x:v>
      </x:c>
      <x:c r="J30" t="str">
        <x:v>2025年年末/全年，随指标定义</x:v>
      </x:c>
      <x:c r="K30" t="str">
        <x:v>https://maptable.com/tjgb/2025/%E4%B9%9D%E6%B1%9F%E5%B8%82/%E6%AD%A6%E5%AE%81%E5%8E%BF/report/jiu-jiang-shi-wu-ning-xian-2025-nian-guo-min-jing-ji-he-she-hui-fa-zhan-tong-ji-gong-bao-2</x:v>
      </x:c>
      <x:c r="L30" t="str">
        <x:v>职工及机关事业养老参保为在职人数（不含离退休人员），居民养老参保为制度参保。</x:v>
      </x:c>
    </x:row>
    <x:row r="31" ht="21" customHeight="1">
      <x:c r="A31" t="n">
        <x:v>2025</x:v>
      </x:c>
      <x:c r="B31" t="str">
        <x:v>县级</x:v>
      </x:c>
      <x:c r="C31" t="str">
        <x:v>九江市</x:v>
      </x:c>
      <x:c r="D31" t="str">
        <x:v>武宁县</x:v>
      </x:c>
      <x:c r="E31" t="str">
        <x:v>人口经济</x:v>
      </x:c>
      <x:c r="F31" t="str">
        <x:v>城镇常住人口_人</x:v>
      </x:c>
      <x:c r="G31" s="16" t="n">
        <x:v>163948</x:v>
      </x:c>
      <x:c r="H31" t="str">
        <x:v>人</x:v>
      </x:c>
      <x:c r="I31" t="str">
        <x:v>二次转载</x:v>
      </x:c>
      <x:c r="J31" t="str">
        <x:v>2025年年末/全年，随指标定义</x:v>
      </x:c>
      <x:c r="K31" t="str">
        <x:v>https://maptable.com/tjgb/2025/%E4%B9%9D%E6%B1%9F%E5%B8%82/%E6%AD%A6%E5%AE%81%E5%8E%BF/report/jiu-jiang-shi-wu-ning-xian-2025-nian-guo-min-jing-ji-he-she-hui-fa-zhan-tong-ji-gong-bao-2</x:v>
      </x:c>
      <x:c r="L31" t="str">
        <x:v>职工及机关事业养老参保为在职人数（不含离退休人员），居民养老参保为制度参保。</x:v>
      </x:c>
    </x:row>
    <x:row r="32" ht="21" customHeight="1">
      <x:c r="A32" t="n">
        <x:v>2025</x:v>
      </x:c>
      <x:c r="B32" t="str">
        <x:v>县级</x:v>
      </x:c>
      <x:c r="C32" t="str">
        <x:v>九江市</x:v>
      </x:c>
      <x:c r="D32" t="str">
        <x:v>武宁县</x:v>
      </x:c>
      <x:c r="E32" t="str">
        <x:v>养老保险</x:v>
      </x:c>
      <x:c r="F32" t="str">
        <x:v>企业职工养老参保_人</x:v>
      </x:c>
      <x:c r="G32" s="16" t="n">
        <x:v>33400</x:v>
      </x:c>
      <x:c r="H32" t="str">
        <x:v>人</x:v>
      </x:c>
      <x:c r="I32" t="str">
        <x:v>二次转载</x:v>
      </x:c>
      <x:c r="J32" t="str">
        <x:v>2025年年末/全年，随指标定义</x:v>
      </x:c>
      <x:c r="K32" t="str">
        <x:v>https://maptable.com/tjgb/2025/%E4%B9%9D%E6%B1%9F%E5%B8%82/%E6%AD%A6%E5%AE%81%E5%8E%BF/report/jiu-jiang-shi-wu-ning-xian-2025-nian-guo-min-jing-ji-he-she-hui-fa-zhan-tong-ji-gong-bao-2</x:v>
      </x:c>
      <x:c r="L32" t="str">
        <x:v>职工及机关事业养老参保为在职人数（不含离退休人员），居民养老参保为制度参保。</x:v>
      </x:c>
    </x:row>
    <x:row r="33" ht="21" customHeight="1">
      <x:c r="A33" t="n">
        <x:v>2025</x:v>
      </x:c>
      <x:c r="B33" t="str">
        <x:v>县级</x:v>
      </x:c>
      <x:c r="C33" t="str">
        <x:v>九江市</x:v>
      </x:c>
      <x:c r="D33" t="str">
        <x:v>武宁县</x:v>
      </x:c>
      <x:c r="E33" t="str">
        <x:v>养老保险</x:v>
      </x:c>
      <x:c r="F33" t="str">
        <x:v>机关事业养老参保_人</x:v>
      </x:c>
      <x:c r="G33" s="16" t="n">
        <x:v>7197</x:v>
      </x:c>
      <x:c r="H33" t="str">
        <x:v>人</x:v>
      </x:c>
      <x:c r="I33" t="str">
        <x:v>二次转载</x:v>
      </x:c>
      <x:c r="J33" t="str">
        <x:v>2025年年末/全年，随指标定义</x:v>
      </x:c>
      <x:c r="K33" t="str">
        <x:v>https://maptable.com/tjgb/2025/%E4%B9%9D%E6%B1%9F%E5%B8%82/%E6%AD%A6%E5%AE%81%E5%8E%BF/report/jiu-jiang-shi-wu-ning-xian-2025-nian-guo-min-jing-ji-he-she-hui-fa-zhan-tong-ji-gong-bao-2</x:v>
      </x:c>
      <x:c r="L33" t="str">
        <x:v>职工及机关事业养老参保为在职人数（不含离退休人员），居民养老参保为制度参保。</x:v>
      </x:c>
    </x:row>
    <x:row r="34" ht="21" customHeight="1">
      <x:c r="A34" t="n">
        <x:v>2025</x:v>
      </x:c>
      <x:c r="B34" t="str">
        <x:v>县级</x:v>
      </x:c>
      <x:c r="C34" t="str">
        <x:v>九江市</x:v>
      </x:c>
      <x:c r="D34" t="str">
        <x:v>武宁县</x:v>
      </x:c>
      <x:c r="E34" t="str">
        <x:v>养老保险</x:v>
      </x:c>
      <x:c r="F34" t="str">
        <x:v>城乡居民养老参保_人</x:v>
      </x:c>
      <x:c r="G34" s="16" t="n">
        <x:v>120000</x:v>
      </x:c>
      <x:c r="H34" t="str">
        <x:v>人</x:v>
      </x:c>
      <x:c r="I34" t="str">
        <x:v>二次转载</x:v>
      </x:c>
      <x:c r="J34" t="str">
        <x:v>2025年年末/全年，随指标定义</x:v>
      </x:c>
      <x:c r="K34" t="str">
        <x:v>https://maptable.com/tjgb/2025/%E4%B9%9D%E6%B1%9F%E5%B8%82/%E6%AD%A6%E5%AE%81%E5%8E%BF/report/jiu-jiang-shi-wu-ning-xian-2025-nian-guo-min-jing-ji-he-she-hui-fa-zhan-tong-ji-gong-bao-2</x:v>
      </x:c>
      <x:c r="L34" t="str">
        <x:v>职工及机关事业养老参保为在职人数（不含离退休人员），居民养老参保为制度参保。</x:v>
      </x:c>
    </x:row>
    <x:row r="35" ht="21" customHeight="1">
      <x:c r="A35" t="n">
        <x:v>2025</x:v>
      </x:c>
      <x:c r="B35" t="str">
        <x:v>县级</x:v>
      </x:c>
      <x:c r="C35" t="str">
        <x:v>九江市</x:v>
      </x:c>
      <x:c r="D35" t="str">
        <x:v>武宁县</x:v>
      </x:c>
      <x:c r="E35" t="str">
        <x:v>就业</x:v>
      </x:c>
      <x:c r="F35" t="str">
        <x:v>失业人员再就业_人</x:v>
      </x:c>
      <x:c r="G35" s="16" t="n">
        <x:v>1784</x:v>
      </x:c>
      <x:c r="H35" t="str">
        <x:v>人</x:v>
      </x:c>
      <x:c r="I35" t="str">
        <x:v>二次转载</x:v>
      </x:c>
      <x:c r="J35" t="str">
        <x:v>2025年年末/全年，随指标定义</x:v>
      </x:c>
      <x:c r="K35" t="str">
        <x:v>https://maptable.com/tjgb/2025/%E4%B9%9D%E6%B1%9F%E5%B8%82/%E6%AD%A6%E5%AE%81%E5%8E%BF/report/jiu-jiang-shi-wu-ning-xian-2025-nian-guo-min-jing-ji-he-she-hui-fa-zhan-tong-ji-gong-bao-2</x:v>
      </x:c>
      <x:c r="L35" t="str">
        <x:v>职工及机关事业养老参保为在职人数（不含离退休人员），居民养老参保为制度参保。</x:v>
      </x:c>
    </x:row>
    <x:row r="36" ht="21" customHeight="1">
      <x:c r="A36" t="n">
        <x:v>2025</x:v>
      </x:c>
      <x:c r="B36" t="str">
        <x:v>县级</x:v>
      </x:c>
      <x:c r="C36" t="str">
        <x:v>九江市</x:v>
      </x:c>
      <x:c r="D36" t="str">
        <x:v>武宁县</x:v>
      </x:c>
      <x:c r="E36" t="str">
        <x:v>就业</x:v>
      </x:c>
      <x:c r="F36" t="str">
        <x:v>就业困难人员就业_人</x:v>
      </x:c>
      <x:c r="G36" s="16" t="n">
        <x:v>624</x:v>
      </x:c>
      <x:c r="H36" t="str">
        <x:v>人</x:v>
      </x:c>
      <x:c r="I36" t="str">
        <x:v>二次转载</x:v>
      </x:c>
      <x:c r="J36" t="str">
        <x:v>2025年年末/全年，随指标定义</x:v>
      </x:c>
      <x:c r="K36" t="str">
        <x:v>https://maptable.com/tjgb/2025/%E4%B9%9D%E6%B1%9F%E5%B8%82/%E6%AD%A6%E5%AE%81%E5%8E%BF/report/jiu-jiang-shi-wu-ning-xian-2025-nian-guo-min-jing-ji-he-she-hui-fa-zhan-tong-ji-gong-bao-2</x:v>
      </x:c>
      <x:c r="L36" t="str">
        <x:v>职工及机关事业养老参保为在职人数（不含离退休人员），居民养老参保为制度参保。</x:v>
      </x:c>
    </x:row>
    <x:row r="37" ht="21" customHeight="1">
      <x:c r="A37" t="n">
        <x:v>2025</x:v>
      </x:c>
      <x:c r="B37" t="str">
        <x:v>县级</x:v>
      </x:c>
      <x:c r="C37" t="str">
        <x:v>九江市</x:v>
      </x:c>
      <x:c r="D37" t="str">
        <x:v>武宁县</x:v>
      </x:c>
      <x:c r="E37" t="str">
        <x:v>人口经济</x:v>
      </x:c>
      <x:c r="F37" t="str">
        <x:v>城镇居民人均可支配收入_元</x:v>
      </x:c>
      <x:c r="G37" s="16" t="n">
        <x:v>48293</x:v>
      </x:c>
      <x:c r="H37" t="str">
        <x:v>元</x:v>
      </x:c>
      <x:c r="I37" t="str">
        <x:v>二次转载</x:v>
      </x:c>
      <x:c r="J37" t="str">
        <x:v>2025年年末/全年，随指标定义</x:v>
      </x:c>
      <x:c r="K37" t="str">
        <x:v>https://maptable.com/tjgb/2025/%E4%B9%9D%E6%B1%9F%E5%B8%82/%E6%AD%A6%E5%AE%81%E5%8E%BF/report/jiu-jiang-shi-wu-ning-xian-2025-nian-guo-min-jing-ji-he-she-hui-fa-zhan-tong-ji-gong-bao-2</x:v>
      </x:c>
      <x:c r="L37" t="str">
        <x:v>职工及机关事业养老参保为在职人数（不含离退休人员），居民养老参保为制度参保。</x:v>
      </x:c>
    </x:row>
    <x:row r="38" ht="21" customHeight="1">
      <x:c r="A38" t="n">
        <x:v>2025</x:v>
      </x:c>
      <x:c r="B38" t="str">
        <x:v>县级</x:v>
      </x:c>
      <x:c r="C38" t="str">
        <x:v>九江市</x:v>
      </x:c>
      <x:c r="D38" t="str">
        <x:v>武宁县</x:v>
      </x:c>
      <x:c r="E38" t="str">
        <x:v>人口经济</x:v>
      </x:c>
      <x:c r="F38" t="str">
        <x:v>农村居民人均可支配收入_元</x:v>
      </x:c>
      <x:c r="G38" s="16" t="n">
        <x:v>25516</x:v>
      </x:c>
      <x:c r="H38" t="str">
        <x:v>元</x:v>
      </x:c>
      <x:c r="I38" t="str">
        <x:v>二次转载</x:v>
      </x:c>
      <x:c r="J38" t="str">
        <x:v>2025年年末/全年，随指标定义</x:v>
      </x:c>
      <x:c r="K38" t="str">
        <x:v>https://maptable.com/tjgb/2025/%E4%B9%9D%E6%B1%9F%E5%B8%82/%E6%AD%A6%E5%AE%81%E5%8E%BF/report/jiu-jiang-shi-wu-ning-xian-2025-nian-guo-min-jing-ji-he-she-hui-fa-zhan-tong-ji-gong-bao-2</x:v>
      </x:c>
      <x:c r="L38" t="str">
        <x:v>职工及机关事业养老参保为在职人数（不含离退休人员），居民养老参保为制度参保。</x:v>
      </x:c>
    </x:row>
    <x:row r="39" ht="21" customHeight="1">
      <x:c r="A39" t="n">
        <x:v>2025</x:v>
      </x:c>
      <x:c r="B39" t="str">
        <x:v>县级</x:v>
      </x:c>
      <x:c r="C39" t="str">
        <x:v>九江市</x:v>
      </x:c>
      <x:c r="D39" t="str">
        <x:v>都昌县</x:v>
      </x:c>
      <x:c r="E39" t="str">
        <x:v>人口经济</x:v>
      </x:c>
      <x:c r="F39" t="str">
        <x:v>常住人口_人</x:v>
      </x:c>
      <x:c r="G39" s="16" t="n">
        <x:v>527481</x:v>
      </x:c>
      <x:c r="H39" t="str">
        <x:v>人</x:v>
      </x:c>
      <x:c r="I39" t="str">
        <x:v>二次转载</x:v>
      </x:c>
      <x:c r="J39" t="str">
        <x:v>2025年年末/全年，随指标定义</x:v>
      </x:c>
      <x:c r="K39" t="str">
        <x:v>https://tjgb.hongheiku.com/xjtjgb/xj2020/78303.html</x:v>
      </x:c>
      <x:c r="L39" t="str"/>
    </x:row>
    <x:row r="40" ht="21" customHeight="1">
      <x:c r="A40" t="n">
        <x:v>2025</x:v>
      </x:c>
      <x:c r="B40" t="str">
        <x:v>县级</x:v>
      </x:c>
      <x:c r="C40" t="str">
        <x:v>九江市</x:v>
      </x:c>
      <x:c r="D40" t="str">
        <x:v>都昌县</x:v>
      </x:c>
      <x:c r="E40" t="str">
        <x:v>人口经济</x:v>
      </x:c>
      <x:c r="F40" t="str">
        <x:v>城镇常住人口_人</x:v>
      </x:c>
      <x:c r="G40" s="16" t="n">
        <x:v>238638</x:v>
      </x:c>
      <x:c r="H40" t="str">
        <x:v>人</x:v>
      </x:c>
      <x:c r="I40" t="str">
        <x:v>二次转载</x:v>
      </x:c>
      <x:c r="J40" t="str">
        <x:v>2025年年末/全年，随指标定义</x:v>
      </x:c>
      <x:c r="K40" t="str">
        <x:v>https://tjgb.hongheiku.com/xjtjgb/xj2020/78303.html</x:v>
      </x:c>
      <x:c r="L40" t="str"/>
    </x:row>
    <x:row r="41" ht="21" customHeight="1">
      <x:c r="A41" t="n">
        <x:v>2025</x:v>
      </x:c>
      <x:c r="B41" t="str">
        <x:v>县级</x:v>
      </x:c>
      <x:c r="C41" t="str">
        <x:v>九江市</x:v>
      </x:c>
      <x:c r="D41" t="str">
        <x:v>都昌县</x:v>
      </x:c>
      <x:c r="E41" t="str">
        <x:v>人口经济</x:v>
      </x:c>
      <x:c r="F41" t="str">
        <x:v>60岁及以上人口_人</x:v>
      </x:c>
      <x:c r="G41" s="16" t="n">
        <x:v>122001</x:v>
      </x:c>
      <x:c r="H41" t="str">
        <x:v>人</x:v>
      </x:c>
      <x:c r="I41" t="str">
        <x:v>二次转载</x:v>
      </x:c>
      <x:c r="J41" t="str">
        <x:v>2025年年末/全年，随指标定义</x:v>
      </x:c>
      <x:c r="K41" t="str">
        <x:v>https://tjgb.hongheiku.com/xjtjgb/xj2020/78303.html</x:v>
      </x:c>
      <x:c r="L41" t="str"/>
    </x:row>
    <x:row r="42" ht="21" customHeight="1">
      <x:c r="A42" t="n">
        <x:v>2025</x:v>
      </x:c>
      <x:c r="B42" t="str">
        <x:v>县级</x:v>
      </x:c>
      <x:c r="C42" t="str">
        <x:v>九江市</x:v>
      </x:c>
      <x:c r="D42" t="str">
        <x:v>都昌县</x:v>
      </x:c>
      <x:c r="E42" t="str">
        <x:v>人口经济</x:v>
      </x:c>
      <x:c r="F42" t="str">
        <x:v>户籍人口_人</x:v>
      </x:c>
      <x:c r="G42" s="16" t="n">
        <x:v>766235</x:v>
      </x:c>
      <x:c r="H42" t="str">
        <x:v>人</x:v>
      </x:c>
      <x:c r="I42" t="str">
        <x:v>二次转载</x:v>
      </x:c>
      <x:c r="J42" t="str">
        <x:v>2025年年末/全年，随指标定义</x:v>
      </x:c>
      <x:c r="K42" t="str">
        <x:v>https://tjgb.hongheiku.com/xjtjgb/xj2020/78303.html</x:v>
      </x:c>
      <x:c r="L42" t="str"/>
    </x:row>
    <x:row r="43" ht="21" customHeight="1">
      <x:c r="A43" t="n">
        <x:v>2025</x:v>
      </x:c>
      <x:c r="B43" t="str">
        <x:v>县级</x:v>
      </x:c>
      <x:c r="C43" t="str">
        <x:v>新余市</x:v>
      </x:c>
      <x:c r="D43" t="str">
        <x:v>分宜县</x:v>
      </x:c>
      <x:c r="E43" t="str">
        <x:v>人口经济</x:v>
      </x:c>
      <x:c r="F43" t="str">
        <x:v>常住人口_人</x:v>
      </x:c>
      <x:c r="G43" s="16" t="n">
        <x:v>264758</x:v>
      </x:c>
      <x:c r="H43" t="str">
        <x:v>人</x:v>
      </x:c>
      <x:c r="I43" t="str">
        <x:v>二次转载</x:v>
      </x:c>
      <x:c r="J43" t="str">
        <x:v>2025年年末/全年，随指标定义</x:v>
      </x:c>
      <x:c r="K43" t="str">
        <x:v>https://tjgb.hongheiku.com/xjtjgb/xj2020/72716.html</x:v>
      </x:c>
      <x:c r="L43" t="str">
        <x:v>全县基本养老参保约23.59万人；城乡居民参保16.71万人。</x:v>
      </x:c>
    </x:row>
    <x:row r="44" ht="21" customHeight="1">
      <x:c r="A44" t="n">
        <x:v>2025</x:v>
      </x:c>
      <x:c r="B44" t="str">
        <x:v>县级</x:v>
      </x:c>
      <x:c r="C44" t="str">
        <x:v>新余市</x:v>
      </x:c>
      <x:c r="D44" t="str">
        <x:v>分宜县</x:v>
      </x:c>
      <x:c r="E44" t="str">
        <x:v>人口经济</x:v>
      </x:c>
      <x:c r="F44" t="str">
        <x:v>城镇常住人口_人</x:v>
      </x:c>
      <x:c r="G44" s="16" t="n">
        <x:v>178380</x:v>
      </x:c>
      <x:c r="H44" t="str">
        <x:v>人</x:v>
      </x:c>
      <x:c r="I44" t="str">
        <x:v>二次转载</x:v>
      </x:c>
      <x:c r="J44" t="str">
        <x:v>2025年年末/全年，随指标定义</x:v>
      </x:c>
      <x:c r="K44" t="str">
        <x:v>https://tjgb.hongheiku.com/xjtjgb/xj2020/72716.html</x:v>
      </x:c>
      <x:c r="L44" t="str">
        <x:v>全县基本养老参保约23.59万人；城乡居民参保16.71万人。</x:v>
      </x:c>
    </x:row>
    <x:row r="45" ht="21" customHeight="1">
      <x:c r="A45" t="n">
        <x:v>2025</x:v>
      </x:c>
      <x:c r="B45" t="str">
        <x:v>县级</x:v>
      </x:c>
      <x:c r="C45" t="str">
        <x:v>新余市</x:v>
      </x:c>
      <x:c r="D45" t="str">
        <x:v>分宜县</x:v>
      </x:c>
      <x:c r="E45" t="str">
        <x:v>人口经济</x:v>
      </x:c>
      <x:c r="F45" t="str">
        <x:v>GDP_亿元</x:v>
      </x:c>
      <x:c r="G45" s="16" t="n">
        <x:v>243.23</x:v>
      </x:c>
      <x:c r="H45" t="str">
        <x:v>亿元</x:v>
      </x:c>
      <x:c r="I45" t="str">
        <x:v>二次转载</x:v>
      </x:c>
      <x:c r="J45" t="str">
        <x:v>2025年年末/全年，随指标定义</x:v>
      </x:c>
      <x:c r="K45" t="str">
        <x:v>https://tjgb.hongheiku.com/xjtjgb/xj2020/72716.html</x:v>
      </x:c>
      <x:c r="L45" t="str">
        <x:v>全县基本养老参保约23.59万人；城乡居民参保16.71万人。</x:v>
      </x:c>
    </x:row>
    <x:row r="46" ht="21" customHeight="1">
      <x:c r="A46" t="n">
        <x:v>2025</x:v>
      </x:c>
      <x:c r="B46" t="str">
        <x:v>县级</x:v>
      </x:c>
      <x:c r="C46" t="str">
        <x:v>新余市</x:v>
      </x:c>
      <x:c r="D46" t="str">
        <x:v>分宜县</x:v>
      </x:c>
      <x:c r="E46" t="str">
        <x:v>养老保险</x:v>
      </x:c>
      <x:c r="F46" t="str">
        <x:v>城乡居民养老参保_人</x:v>
      </x:c>
      <x:c r="G46" s="16" t="n">
        <x:v>167100</x:v>
      </x:c>
      <x:c r="H46" t="str">
        <x:v>人</x:v>
      </x:c>
      <x:c r="I46" t="str">
        <x:v>二次转载</x:v>
      </x:c>
      <x:c r="J46" t="str">
        <x:v>2025年年末/全年，随指标定义</x:v>
      </x:c>
      <x:c r="K46" t="str">
        <x:v>https://tjgb.hongheiku.com/xjtjgb/xj2020/72716.html</x:v>
      </x:c>
      <x:c r="L46" t="str">
        <x:v>全县基本养老参保约23.59万人；城乡居民参保16.71万人。</x:v>
      </x:c>
    </x:row>
    <x:row r="47" ht="21" customHeight="1">
      <x:c r="A47" t="n">
        <x:v>2025</x:v>
      </x:c>
      <x:c r="B47" t="str">
        <x:v>县级</x:v>
      </x:c>
      <x:c r="C47" t="str">
        <x:v>赣州市</x:v>
      </x:c>
      <x:c r="D47" t="str">
        <x:v>赣县区</x:v>
      </x:c>
      <x:c r="E47" t="str">
        <x:v>人口经济</x:v>
      </x:c>
      <x:c r="F47" t="str">
        <x:v>GDP_亿元</x:v>
      </x:c>
      <x:c r="G47" s="16" t="n">
        <x:v>312.33</x:v>
      </x:c>
      <x:c r="H47" t="str">
        <x:v>亿元</x:v>
      </x:c>
      <x:c r="I47" t="str">
        <x:v>二次转载</x:v>
      </x:c>
      <x:c r="J47" t="str">
        <x:v>2025年年末/全年，随指标定义</x:v>
      </x:c>
      <x:c r="K47" t="str">
        <x:v>https://tjgb.hongheiku.com/xjtjgb/xj2020/75251.html</x:v>
      </x:c>
      <x:c r="L47" t="str"/>
    </x:row>
    <x:row r="48" ht="21" customHeight="1">
      <x:c r="A48" t="n">
        <x:v>2025</x:v>
      </x:c>
      <x:c r="B48" t="str">
        <x:v>县级</x:v>
      </x:c>
      <x:c r="C48" t="str">
        <x:v>赣州市</x:v>
      </x:c>
      <x:c r="D48" t="str">
        <x:v>信丰县</x:v>
      </x:c>
      <x:c r="E48" t="str">
        <x:v>人口经济</x:v>
      </x:c>
      <x:c r="F48" t="str">
        <x:v>常住人口_人</x:v>
      </x:c>
      <x:c r="G48" s="16" t="n">
        <x:v>672406</x:v>
      </x:c>
      <x:c r="H48" t="str">
        <x:v>人</x:v>
      </x:c>
      <x:c r="I48" t="str">
        <x:v>二次转载</x:v>
      </x:c>
      <x:c r="J48" t="str">
        <x:v>2025年年末/全年，随指标定义</x:v>
      </x:c>
      <x:c r="K48" t="str">
        <x:v>https://tjgb.hongheiku.com/xjtjgb/xj2020/76398.html</x:v>
      </x:c>
      <x:c r="L48" t="str"/>
    </x:row>
    <x:row r="49" ht="21" customHeight="1">
      <x:c r="A49" t="n">
        <x:v>2025</x:v>
      </x:c>
      <x:c r="B49" t="str">
        <x:v>县级</x:v>
      </x:c>
      <x:c r="C49" t="str">
        <x:v>赣州市</x:v>
      </x:c>
      <x:c r="D49" t="str">
        <x:v>信丰县</x:v>
      </x:c>
      <x:c r="E49" t="str">
        <x:v>人口经济</x:v>
      </x:c>
      <x:c r="F49" t="str">
        <x:v>城镇常住人口_人</x:v>
      </x:c>
      <x:c r="G49" s="16" t="n">
        <x:v>386765</x:v>
      </x:c>
      <x:c r="H49" t="str">
        <x:v>人</x:v>
      </x:c>
      <x:c r="I49" t="str">
        <x:v>二次转载</x:v>
      </x:c>
      <x:c r="J49" t="str">
        <x:v>2025年年末/全年，随指标定义</x:v>
      </x:c>
      <x:c r="K49" t="str">
        <x:v>https://tjgb.hongheiku.com/xjtjgb/xj2020/76398.html</x:v>
      </x:c>
      <x:c r="L49" t="str"/>
    </x:row>
    <x:row r="50" ht="21" customHeight="1">
      <x:c r="A50" t="n">
        <x:v>2025</x:v>
      </x:c>
      <x:c r="B50" t="str">
        <x:v>县级</x:v>
      </x:c>
      <x:c r="C50" t="str">
        <x:v>赣州市</x:v>
      </x:c>
      <x:c r="D50" t="str">
        <x:v>信丰县</x:v>
      </x:c>
      <x:c r="E50" t="str">
        <x:v>人口经济</x:v>
      </x:c>
      <x:c r="F50" t="str">
        <x:v>GDP_亿元</x:v>
      </x:c>
      <x:c r="G50" s="16" t="n">
        <x:v>341.2</x:v>
      </x:c>
      <x:c r="H50" t="str">
        <x:v>亿元</x:v>
      </x:c>
      <x:c r="I50" t="str">
        <x:v>二次转载</x:v>
      </x:c>
      <x:c r="J50" t="str">
        <x:v>2025年年末/全年，随指标定义</x:v>
      </x:c>
      <x:c r="K50" t="str">
        <x:v>https://tjgb.hongheiku.com/xjtjgb/xj2020/76398.html</x:v>
      </x:c>
      <x:c r="L50" t="str"/>
    </x:row>
    <x:row r="51" ht="21" customHeight="1">
      <x:c r="A51" t="n">
        <x:v>2025</x:v>
      </x:c>
      <x:c r="B51" t="str">
        <x:v>县级</x:v>
      </x:c>
      <x:c r="C51" t="str">
        <x:v>赣州市</x:v>
      </x:c>
      <x:c r="D51" t="str">
        <x:v>崇义县</x:v>
      </x:c>
      <x:c r="E51" t="str">
        <x:v>人口经济</x:v>
      </x:c>
      <x:c r="F51" t="str">
        <x:v>常住人口_人</x:v>
      </x:c>
      <x:c r="G51" s="16" t="n">
        <x:v>175654</x:v>
      </x:c>
      <x:c r="H51" t="str">
        <x:v>人</x:v>
      </x:c>
      <x:c r="I51" t="str">
        <x:v>二次转载</x:v>
      </x:c>
      <x:c r="J51" t="str">
        <x:v>2025年年末/全年，随指标定义</x:v>
      </x:c>
      <x:c r="K51" t="str">
        <x:v>https://tjgb.hongheiku.com/xjtjgb/xj2020/74335.html</x:v>
      </x:c>
      <x:c r="L51" t="str"/>
    </x:row>
    <x:row r="52" ht="21" customHeight="1">
      <x:c r="A52" t="n">
        <x:v>2025</x:v>
      </x:c>
      <x:c r="B52" t="str">
        <x:v>县级</x:v>
      </x:c>
      <x:c r="C52" t="str">
        <x:v>赣州市</x:v>
      </x:c>
      <x:c r="D52" t="str">
        <x:v>崇义县</x:v>
      </x:c>
      <x:c r="E52" t="str">
        <x:v>人口经济</x:v>
      </x:c>
      <x:c r="F52" t="str">
        <x:v>城镇常住人口_人</x:v>
      </x:c>
      <x:c r="G52" s="16" t="n">
        <x:v>90977</x:v>
      </x:c>
      <x:c r="H52" t="str">
        <x:v>人</x:v>
      </x:c>
      <x:c r="I52" t="str">
        <x:v>二次转载</x:v>
      </x:c>
      <x:c r="J52" t="str">
        <x:v>2025年年末/全年，随指标定义</x:v>
      </x:c>
      <x:c r="K52" t="str">
        <x:v>https://tjgb.hongheiku.com/xjtjgb/xj2020/74335.html</x:v>
      </x:c>
      <x:c r="L52" t="str"/>
    </x:row>
    <x:row r="53" ht="21" customHeight="1">
      <x:c r="A53" t="n">
        <x:v>2025</x:v>
      </x:c>
      <x:c r="B53" t="str">
        <x:v>县级</x:v>
      </x:c>
      <x:c r="C53" t="str">
        <x:v>赣州市</x:v>
      </x:c>
      <x:c r="D53" t="str">
        <x:v>崇义县</x:v>
      </x:c>
      <x:c r="E53" t="str">
        <x:v>人口经济</x:v>
      </x:c>
      <x:c r="F53" t="str">
        <x:v>户籍人口_人</x:v>
      </x:c>
      <x:c r="G53" s="16" t="n">
        <x:v>209837</x:v>
      </x:c>
      <x:c r="H53" t="str">
        <x:v>人</x:v>
      </x:c>
      <x:c r="I53" t="str">
        <x:v>二次转载</x:v>
      </x:c>
      <x:c r="J53" t="str">
        <x:v>2025年年末/全年，随指标定义</x:v>
      </x:c>
      <x:c r="K53" t="str">
        <x:v>https://tjgb.hongheiku.com/xjtjgb/xj2020/74335.html</x:v>
      </x:c>
      <x:c r="L53" t="str"/>
    </x:row>
    <x:row r="54" ht="21" customHeight="1">
      <x:c r="A54" t="n">
        <x:v>2025</x:v>
      </x:c>
      <x:c r="B54" t="str">
        <x:v>县级</x:v>
      </x:c>
      <x:c r="C54" t="str">
        <x:v>赣州市</x:v>
      </x:c>
      <x:c r="D54" t="str">
        <x:v>崇义县</x:v>
      </x:c>
      <x:c r="E54" t="str">
        <x:v>人口经济</x:v>
      </x:c>
      <x:c r="F54" t="str">
        <x:v>GDP_亿元</x:v>
      </x:c>
      <x:c r="G54" s="16" t="n">
        <x:v>131.5</x:v>
      </x:c>
      <x:c r="H54" t="str">
        <x:v>亿元</x:v>
      </x:c>
      <x:c r="I54" t="str">
        <x:v>二次转载</x:v>
      </x:c>
      <x:c r="J54" t="str">
        <x:v>2025年年末/全年，随指标定义</x:v>
      </x:c>
      <x:c r="K54" t="str">
        <x:v>https://tjgb.hongheiku.com/xjtjgb/xj2020/74335.html</x:v>
      </x:c>
      <x:c r="L54" t="str"/>
    </x:row>
    <x:row r="55" ht="21" customHeight="1">
      <x:c r="A55" t="n">
        <x:v>2025</x:v>
      </x:c>
      <x:c r="B55" t="str">
        <x:v>县级</x:v>
      </x:c>
      <x:c r="C55" t="str">
        <x:v>赣州市</x:v>
      </x:c>
      <x:c r="D55" t="str">
        <x:v>兴国县</x:v>
      </x:c>
      <x:c r="E55" t="str">
        <x:v>人口经济</x:v>
      </x:c>
      <x:c r="F55" t="str">
        <x:v>常住人口_人</x:v>
      </x:c>
      <x:c r="G55" s="16" t="n">
        <x:v>706344</x:v>
      </x:c>
      <x:c r="H55" t="str">
        <x:v>人</x:v>
      </x:c>
      <x:c r="I55" t="str">
        <x:v>二次转载</x:v>
      </x:c>
      <x:c r="J55" t="str">
        <x:v>2025年年末/全年，随指标定义</x:v>
      </x:c>
      <x:c r="K55" t="str">
        <x:v>https://tjgb.hongheiku.com/xjtjgb/xj2020/71515.html</x:v>
      </x:c>
      <x:c r="L55" t="str"/>
    </x:row>
    <x:row r="56" ht="21" customHeight="1">
      <x:c r="A56" t="n">
        <x:v>2025</x:v>
      </x:c>
      <x:c r="B56" t="str">
        <x:v>县级</x:v>
      </x:c>
      <x:c r="C56" t="str">
        <x:v>赣州市</x:v>
      </x:c>
      <x:c r="D56" t="str">
        <x:v>兴国县</x:v>
      </x:c>
      <x:c r="E56" t="str">
        <x:v>人口经济</x:v>
      </x:c>
      <x:c r="F56" t="str">
        <x:v>城镇常住人口_人</x:v>
      </x:c>
      <x:c r="G56" s="16" t="n">
        <x:v>355637</x:v>
      </x:c>
      <x:c r="H56" t="str">
        <x:v>人</x:v>
      </x:c>
      <x:c r="I56" t="str">
        <x:v>二次转载</x:v>
      </x:c>
      <x:c r="J56" t="str">
        <x:v>2025年年末/全年，随指标定义</x:v>
      </x:c>
      <x:c r="K56" t="str">
        <x:v>https://tjgb.hongheiku.com/xjtjgb/xj2020/71515.html</x:v>
      </x:c>
      <x:c r="L56" t="str"/>
    </x:row>
    <x:row r="57" ht="21" customHeight="1">
      <x:c r="A57" t="n">
        <x:v>2025</x:v>
      </x:c>
      <x:c r="B57" t="str">
        <x:v>县级</x:v>
      </x:c>
      <x:c r="C57" t="str">
        <x:v>赣州市</x:v>
      </x:c>
      <x:c r="D57" t="str">
        <x:v>兴国县</x:v>
      </x:c>
      <x:c r="E57" t="str">
        <x:v>人口经济</x:v>
      </x:c>
      <x:c r="F57" t="str">
        <x:v>60岁及以上人口_人</x:v>
      </x:c>
      <x:c r="G57" s="16" t="n">
        <x:v>142232</x:v>
      </x:c>
      <x:c r="H57" t="str">
        <x:v>人</x:v>
      </x:c>
      <x:c r="I57" t="str">
        <x:v>二次转载</x:v>
      </x:c>
      <x:c r="J57" t="str">
        <x:v>2025年年末/全年，随指标定义</x:v>
      </x:c>
      <x:c r="K57" t="str">
        <x:v>https://tjgb.hongheiku.com/xjtjgb/xj2020/71515.html</x:v>
      </x:c>
      <x:c r="L57" t="str"/>
    </x:row>
    <x:row r="58" ht="21" customHeight="1">
      <x:c r="A58" t="n">
        <x:v>2025</x:v>
      </x:c>
      <x:c r="B58" t="str">
        <x:v>县级</x:v>
      </x:c>
      <x:c r="C58" t="str">
        <x:v>赣州市</x:v>
      </x:c>
      <x:c r="D58" t="str">
        <x:v>兴国县</x:v>
      </x:c>
      <x:c r="E58" t="str">
        <x:v>人口经济</x:v>
      </x:c>
      <x:c r="F58" t="str">
        <x:v>65岁及以上人口_人</x:v>
      </x:c>
      <x:c r="G58" s="16" t="n">
        <x:v>99215</x:v>
      </x:c>
      <x:c r="H58" t="str">
        <x:v>人</x:v>
      </x:c>
      <x:c r="I58" t="str">
        <x:v>二次转载</x:v>
      </x:c>
      <x:c r="J58" t="str">
        <x:v>2025年年末/全年，随指标定义</x:v>
      </x:c>
      <x:c r="K58" t="str">
        <x:v>https://tjgb.hongheiku.com/xjtjgb/xj2020/71515.html</x:v>
      </x:c>
      <x:c r="L58" t="str"/>
    </x:row>
    <x:row r="59" ht="21" customHeight="1">
      <x:c r="A59" t="n">
        <x:v>2025</x:v>
      </x:c>
      <x:c r="B59" t="str">
        <x:v>县级</x:v>
      </x:c>
      <x:c r="C59" t="str">
        <x:v>赣州市</x:v>
      </x:c>
      <x:c r="D59" t="str">
        <x:v>兴国县</x:v>
      </x:c>
      <x:c r="E59" t="str">
        <x:v>人口经济</x:v>
      </x:c>
      <x:c r="F59" t="str">
        <x:v>GDP_亿元</x:v>
      </x:c>
      <x:c r="G59" s="16" t="n">
        <x:v>268.95</x:v>
      </x:c>
      <x:c r="H59" t="str">
        <x:v>亿元</x:v>
      </x:c>
      <x:c r="I59" t="str">
        <x:v>二次转载</x:v>
      </x:c>
      <x:c r="J59" t="str">
        <x:v>2025年年末/全年，随指标定义</x:v>
      </x:c>
      <x:c r="K59" t="str">
        <x:v>https://tjgb.hongheiku.com/xjtjgb/xj2020/71515.html</x:v>
      </x:c>
      <x:c r="L59" t="str"/>
    </x:row>
    <x:row r="60" ht="21" customHeight="1">
      <x:c r="A60" t="n">
        <x:v>2025</x:v>
      </x:c>
      <x:c r="B60" t="str">
        <x:v>县级</x:v>
      </x:c>
      <x:c r="C60" t="str">
        <x:v>吉安市</x:v>
      </x:c>
      <x:c r="D60" t="str">
        <x:v>吉安县</x:v>
      </x:c>
      <x:c r="E60" t="str">
        <x:v>人口经济</x:v>
      </x:c>
      <x:c r="F60" t="str">
        <x:v>常住人口_人</x:v>
      </x:c>
      <x:c r="G60" s="16" t="n">
        <x:v>390725</x:v>
      </x:c>
      <x:c r="H60" t="str">
        <x:v>人</x:v>
      </x:c>
      <x:c r="I60" t="str">
        <x:v>二次转载</x:v>
      </x:c>
      <x:c r="J60" t="str">
        <x:v>2025年年末/全年，随指标定义</x:v>
      </x:c>
      <x:c r="K60" t="str">
        <x:v>https://maptable.com/tjgb/2025/%E5%90%89%E5%AE%89%E5%B8%82/%E5%90%89%E5%AE%89%E5%8E%BF/report/ji-an-shi-ji-an-xian-2025-nian-guo-min-jing-ji-he-she-hui-fa-zhan-tong-ji-gong-bao</x:v>
      </x:c>
      <x:c r="L60" t="str">
        <x:v>吉安县数据注明不含井冈山经开区。注意三类参保人数不是待遇领取人数，不可计算人均待遇。</x:v>
      </x:c>
    </x:row>
    <x:row r="61" ht="21" customHeight="1">
      <x:c r="A61" t="n">
        <x:v>2025</x:v>
      </x:c>
      <x:c r="B61" t="str">
        <x:v>县级</x:v>
      </x:c>
      <x:c r="C61" t="str">
        <x:v>吉安市</x:v>
      </x:c>
      <x:c r="D61" t="str">
        <x:v>吉安县</x:v>
      </x:c>
      <x:c r="E61" t="str">
        <x:v>人口经济</x:v>
      </x:c>
      <x:c r="F61" t="str">
        <x:v>城镇常住人口_人</x:v>
      </x:c>
      <x:c r="G61" s="16" t="n">
        <x:v>195326</x:v>
      </x:c>
      <x:c r="H61" t="str">
        <x:v>人</x:v>
      </x:c>
      <x:c r="I61" t="str">
        <x:v>二次转载</x:v>
      </x:c>
      <x:c r="J61" t="str">
        <x:v>2025年年末/全年，随指标定义</x:v>
      </x:c>
      <x:c r="K61" t="str">
        <x:v>https://maptable.com/tjgb/2025/%E5%90%89%E5%AE%89%E5%B8%82/%E5%90%89%E5%AE%89%E5%8E%BF/report/ji-an-shi-ji-an-xian-2025-nian-guo-min-jing-ji-he-she-hui-fa-zhan-tong-ji-gong-bao</x:v>
      </x:c>
      <x:c r="L61" t="str">
        <x:v>吉安县数据注明不含井冈山经开区。注意三类参保人数不是待遇领取人数，不可计算人均待遇。</x:v>
      </x:c>
    </x:row>
    <x:row r="62" ht="21" customHeight="1">
      <x:c r="A62" t="n">
        <x:v>2025</x:v>
      </x:c>
      <x:c r="B62" t="str">
        <x:v>县级</x:v>
      </x:c>
      <x:c r="C62" t="str">
        <x:v>吉安市</x:v>
      </x:c>
      <x:c r="D62" t="str">
        <x:v>吉安县</x:v>
      </x:c>
      <x:c r="E62" t="str">
        <x:v>人口经济</x:v>
      </x:c>
      <x:c r="F62" t="str">
        <x:v>户籍人口_人</x:v>
      </x:c>
      <x:c r="G62" s="16" t="n">
        <x:v>500714</x:v>
      </x:c>
      <x:c r="H62" t="str">
        <x:v>人</x:v>
      </x:c>
      <x:c r="I62" t="str">
        <x:v>二次转载</x:v>
      </x:c>
      <x:c r="J62" t="str">
        <x:v>2025年年末/全年，随指标定义</x:v>
      </x:c>
      <x:c r="K62" t="str">
        <x:v>https://maptable.com/tjgb/2025/%E5%90%89%E5%AE%89%E5%B8%82/%E5%90%89%E5%AE%89%E5%8E%BF/report/ji-an-shi-ji-an-xian-2025-nian-guo-min-jing-ji-he-she-hui-fa-zhan-tong-ji-gong-bao</x:v>
      </x:c>
      <x:c r="L62" t="str">
        <x:v>吉安县数据注明不含井冈山经开区。注意三类参保人数不是待遇领取人数，不可计算人均待遇。</x:v>
      </x:c>
    </x:row>
    <x:row r="63" ht="21" customHeight="1">
      <x:c r="A63" t="n">
        <x:v>2025</x:v>
      </x:c>
      <x:c r="B63" t="str">
        <x:v>县级</x:v>
      </x:c>
      <x:c r="C63" t="str">
        <x:v>吉安市</x:v>
      </x:c>
      <x:c r="D63" t="str">
        <x:v>吉安县</x:v>
      </x:c>
      <x:c r="E63" t="str">
        <x:v>人口经济</x:v>
      </x:c>
      <x:c r="F63" t="str">
        <x:v>GDP_亿元</x:v>
      </x:c>
      <x:c r="G63" s="16" t="n">
        <x:v>278.0932</x:v>
      </x:c>
      <x:c r="H63" t="str">
        <x:v>亿元</x:v>
      </x:c>
      <x:c r="I63" t="str">
        <x:v>二次转载</x:v>
      </x:c>
      <x:c r="J63" t="str">
        <x:v>2025年年末/全年，随指标定义</x:v>
      </x:c>
      <x:c r="K63" t="str">
        <x:v>https://maptable.com/tjgb/2025/%E5%90%89%E5%AE%89%E5%B8%82/%E5%90%89%E5%AE%89%E5%8E%BF/report/ji-an-shi-ji-an-xian-2025-nian-guo-min-jing-ji-he-she-hui-fa-zhan-tong-ji-gong-bao</x:v>
      </x:c>
      <x:c r="L63" t="str">
        <x:v>吉安县数据注明不含井冈山经开区。注意三类参保人数不是待遇领取人数，不可计算人均待遇。</x:v>
      </x:c>
    </x:row>
    <x:row r="64" ht="21" customHeight="1">
      <x:c r="A64" t="n">
        <x:v>2025</x:v>
      </x:c>
      <x:c r="B64" t="str">
        <x:v>县级</x:v>
      </x:c>
      <x:c r="C64" t="str">
        <x:v>吉安市</x:v>
      </x:c>
      <x:c r="D64" t="str">
        <x:v>吉安县</x:v>
      </x:c>
      <x:c r="E64" t="str">
        <x:v>就业</x:v>
      </x:c>
      <x:c r="F64" t="str">
        <x:v>城镇新增就业_人</x:v>
      </x:c>
      <x:c r="G64" s="16" t="n">
        <x:v>6041</x:v>
      </x:c>
      <x:c r="H64" t="str">
        <x:v>人</x:v>
      </x:c>
      <x:c r="I64" t="str">
        <x:v>二次转载</x:v>
      </x:c>
      <x:c r="J64" t="str">
        <x:v>2025年年末/全年，随指标定义</x:v>
      </x:c>
      <x:c r="K64" t="str">
        <x:v>https://maptable.com/tjgb/2025/%E5%90%89%E5%AE%89%E5%B8%82/%E5%90%89%E5%AE%89%E5%8E%BF/report/ji-an-shi-ji-an-xian-2025-nian-guo-min-jing-ji-he-she-hui-fa-zhan-tong-ji-gong-bao</x:v>
      </x:c>
      <x:c r="L64" t="str">
        <x:v>吉安县数据注明不含井冈山经开区。注意三类参保人数不是待遇领取人数，不可计算人均待遇。</x:v>
      </x:c>
    </x:row>
    <x:row r="65" ht="21" customHeight="1">
      <x:c r="A65" t="n">
        <x:v>2025</x:v>
      </x:c>
      <x:c r="B65" t="str">
        <x:v>县级</x:v>
      </x:c>
      <x:c r="C65" t="str">
        <x:v>吉安市</x:v>
      </x:c>
      <x:c r="D65" t="str">
        <x:v>吉安县</x:v>
      </x:c>
      <x:c r="E65" t="str">
        <x:v>就业</x:v>
      </x:c>
      <x:c r="F65" t="str">
        <x:v>失业人员再就业_人</x:v>
      </x:c>
      <x:c r="G65" s="16" t="n">
        <x:v>2505</x:v>
      </x:c>
      <x:c r="H65" t="str">
        <x:v>人</x:v>
      </x:c>
      <x:c r="I65" t="str">
        <x:v>二次转载</x:v>
      </x:c>
      <x:c r="J65" t="str">
        <x:v>2025年年末/全年，随指标定义</x:v>
      </x:c>
      <x:c r="K65" t="str">
        <x:v>https://maptable.com/tjgb/2025/%E5%90%89%E5%AE%89%E5%B8%82/%E5%90%89%E5%AE%89%E5%8E%BF/report/ji-an-shi-ji-an-xian-2025-nian-guo-min-jing-ji-he-she-hui-fa-zhan-tong-ji-gong-bao</x:v>
      </x:c>
      <x:c r="L65" t="str">
        <x:v>吉安县数据注明不含井冈山经开区。注意三类参保人数不是待遇领取人数，不可计算人均待遇。</x:v>
      </x:c>
    </x:row>
    <x:row r="66" ht="21" customHeight="1">
      <x:c r="A66" t="n">
        <x:v>2025</x:v>
      </x:c>
      <x:c r="B66" t="str">
        <x:v>县级</x:v>
      </x:c>
      <x:c r="C66" t="str">
        <x:v>吉安市</x:v>
      </x:c>
      <x:c r="D66" t="str">
        <x:v>吉安县</x:v>
      </x:c>
      <x:c r="E66" t="str">
        <x:v>就业</x:v>
      </x:c>
      <x:c r="F66" t="str">
        <x:v>就业困难人员就业_人</x:v>
      </x:c>
      <x:c r="G66" s="16" t="n">
        <x:v>467</x:v>
      </x:c>
      <x:c r="H66" t="str">
        <x:v>人</x:v>
      </x:c>
      <x:c r="I66" t="str">
        <x:v>二次转载</x:v>
      </x:c>
      <x:c r="J66" t="str">
        <x:v>2025年年末/全年，随指标定义</x:v>
      </x:c>
      <x:c r="K66" t="str">
        <x:v>https://maptable.com/tjgb/2025/%E5%90%89%E5%AE%89%E5%B8%82/%E5%90%89%E5%AE%89%E5%8E%BF/report/ji-an-shi-ji-an-xian-2025-nian-guo-min-jing-ji-he-she-hui-fa-zhan-tong-ji-gong-bao</x:v>
      </x:c>
      <x:c r="L66" t="str">
        <x:v>吉安县数据注明不含井冈山经开区。注意三类参保人数不是待遇领取人数，不可计算人均待遇。</x:v>
      </x:c>
    </x:row>
    <x:row r="67" ht="21" customHeight="1">
      <x:c r="A67" t="n">
        <x:v>2025</x:v>
      </x:c>
      <x:c r="B67" t="str">
        <x:v>县级</x:v>
      </x:c>
      <x:c r="C67" t="str">
        <x:v>吉安市</x:v>
      </x:c>
      <x:c r="D67" t="str">
        <x:v>吉安县</x:v>
      </x:c>
      <x:c r="E67" t="str">
        <x:v>养老保险</x:v>
      </x:c>
      <x:c r="F67" t="str">
        <x:v>企业职工养老参保_人</x:v>
      </x:c>
      <x:c r="G67" s="16" t="n">
        <x:v>197979</x:v>
      </x:c>
      <x:c r="H67" t="str">
        <x:v>人</x:v>
      </x:c>
      <x:c r="I67" t="str">
        <x:v>二次转载</x:v>
      </x:c>
      <x:c r="J67" t="str">
        <x:v>2025年年末/全年，随指标定义</x:v>
      </x:c>
      <x:c r="K67" t="str">
        <x:v>https://maptable.com/tjgb/2025/%E5%90%89%E5%AE%89%E5%B8%82/%E5%90%89%E5%AE%89%E5%8E%BF/report/ji-an-shi-ji-an-xian-2025-nian-guo-min-jing-ji-he-she-hui-fa-zhan-tong-ji-gong-bao</x:v>
      </x:c>
      <x:c r="L67" t="str">
        <x:v>吉安县数据注明不含井冈山经开区。注意三类参保人数不是待遇领取人数，不可计算人均待遇。</x:v>
      </x:c>
    </x:row>
    <x:row r="68" ht="21" customHeight="1">
      <x:c r="A68" t="n">
        <x:v>2025</x:v>
      </x:c>
      <x:c r="B68" t="str">
        <x:v>县级</x:v>
      </x:c>
      <x:c r="C68" t="str">
        <x:v>吉安市</x:v>
      </x:c>
      <x:c r="D68" t="str">
        <x:v>吉安县</x:v>
      </x:c>
      <x:c r="E68" t="str">
        <x:v>养老保险</x:v>
      </x:c>
      <x:c r="F68" t="str">
        <x:v>机关事业养老参保_人</x:v>
      </x:c>
      <x:c r="G68" s="16" t="n">
        <x:v>14915</x:v>
      </x:c>
      <x:c r="H68" t="str">
        <x:v>人</x:v>
      </x:c>
      <x:c r="I68" t="str">
        <x:v>二次转载</x:v>
      </x:c>
      <x:c r="J68" t="str">
        <x:v>2025年年末/全年，随指标定义</x:v>
      </x:c>
      <x:c r="K68" t="str">
        <x:v>https://maptable.com/tjgb/2025/%E5%90%89%E5%AE%89%E5%B8%82/%E5%90%89%E5%AE%89%E5%8E%BF/report/ji-an-shi-ji-an-xian-2025-nian-guo-min-jing-ji-he-she-hui-fa-zhan-tong-ji-gong-bao</x:v>
      </x:c>
      <x:c r="L68" t="str">
        <x:v>吉安县数据注明不含井冈山经开区。注意三类参保人数不是待遇领取人数，不可计算人均待遇。</x:v>
      </x:c>
    </x:row>
    <x:row r="69" ht="21" customHeight="1">
      <x:c r="A69" t="n">
        <x:v>2025</x:v>
      </x:c>
      <x:c r="B69" t="str">
        <x:v>县级</x:v>
      </x:c>
      <x:c r="C69" t="str">
        <x:v>吉安市</x:v>
      </x:c>
      <x:c r="D69" t="str">
        <x:v>吉安县</x:v>
      </x:c>
      <x:c r="E69" t="str">
        <x:v>养老保险</x:v>
      </x:c>
      <x:c r="F69" t="str">
        <x:v>城乡居民养老参保_人</x:v>
      </x:c>
      <x:c r="G69" s="16" t="n">
        <x:v>253229</x:v>
      </x:c>
      <x:c r="H69" t="str">
        <x:v>人</x:v>
      </x:c>
      <x:c r="I69" t="str">
        <x:v>二次转载</x:v>
      </x:c>
      <x:c r="J69" t="str">
        <x:v>2025年年末/全年，随指标定义</x:v>
      </x:c>
      <x:c r="K69" t="str">
        <x:v>https://maptable.com/tjgb/2025/%E5%90%89%E5%AE%89%E5%B8%82/%E5%90%89%E5%AE%89%E5%8E%BF/report/ji-an-shi-ji-an-xian-2025-nian-guo-min-jing-ji-he-she-hui-fa-zhan-tong-ji-gong-bao</x:v>
      </x:c>
      <x:c r="L69" t="str">
        <x:v>吉安县数据注明不含井冈山经开区。注意三类参保人数不是待遇领取人数，不可计算人均待遇。</x:v>
      </x:c>
    </x:row>
    <x:row r="70" ht="21" customHeight="1">
      <x:c r="A70" t="n">
        <x:v>2025</x:v>
      </x:c>
      <x:c r="B70" t="str">
        <x:v>县级</x:v>
      </x:c>
      <x:c r="C70" t="str">
        <x:v>吉安市</x:v>
      </x:c>
      <x:c r="D70" t="str">
        <x:v>吉安县</x:v>
      </x:c>
      <x:c r="E70" t="str">
        <x:v>养老保险</x:v>
      </x:c>
      <x:c r="F70" t="str">
        <x:v>企业离退休养老金发放_万元</x:v>
      </x:c>
      <x:c r="G70" s="16" t="n">
        <x:v>57981</x:v>
      </x:c>
      <x:c r="H70" t="str">
        <x:v>万元</x:v>
      </x:c>
      <x:c r="I70" t="str">
        <x:v>二次转载</x:v>
      </x:c>
      <x:c r="J70" t="str">
        <x:v>2025年年末/全年，随指标定义</x:v>
      </x:c>
      <x:c r="K70" t="str">
        <x:v>https://maptable.com/tjgb/2025/%E5%90%89%E5%AE%89%E5%B8%82/%E5%90%89%E5%AE%89%E5%8E%BF/report/ji-an-shi-ji-an-xian-2025-nian-guo-min-jing-ji-he-she-hui-fa-zhan-tong-ji-gong-bao</x:v>
      </x:c>
      <x:c r="L70" t="str">
        <x:v>吉安县数据注明不含井冈山经开区。注意三类参保人数不是待遇领取人数，不可计算人均待遇。</x:v>
      </x:c>
    </x:row>
    <x:row r="71" ht="21" customHeight="1">
      <x:c r="A71" t="n">
        <x:v>2025</x:v>
      </x:c>
      <x:c r="B71" t="str">
        <x:v>县级</x:v>
      </x:c>
      <x:c r="C71" t="str">
        <x:v>吉安市</x:v>
      </x:c>
      <x:c r="D71" t="str">
        <x:v>吉安县</x:v>
      </x:c>
      <x:c r="E71" t="str">
        <x:v>养老保险</x:v>
      </x:c>
      <x:c r="F71" t="str">
        <x:v>机关事业养老金发放_万元</x:v>
      </x:c>
      <x:c r="G71" s="16" t="n">
        <x:v>32639</x:v>
      </x:c>
      <x:c r="H71" t="str">
        <x:v>万元</x:v>
      </x:c>
      <x:c r="I71" t="str">
        <x:v>二次转载</x:v>
      </x:c>
      <x:c r="J71" t="str">
        <x:v>2025年年末/全年，随指标定义</x:v>
      </x:c>
      <x:c r="K71" t="str">
        <x:v>https://maptable.com/tjgb/2025/%E5%90%89%E5%AE%89%E5%B8%82/%E5%90%89%E5%AE%89%E5%8E%BF/report/ji-an-shi-ji-an-xian-2025-nian-guo-min-jing-ji-he-she-hui-fa-zhan-tong-ji-gong-bao</x:v>
      </x:c>
      <x:c r="L71" t="str">
        <x:v>吉安县数据注明不含井冈山经开区。注意三类参保人数不是待遇领取人数，不可计算人均待遇。</x:v>
      </x:c>
    </x:row>
    <x:row r="72" ht="21" customHeight="1">
      <x:c r="A72" t="n">
        <x:v>2025</x:v>
      </x:c>
      <x:c r="B72" t="str">
        <x:v>县级</x:v>
      </x:c>
      <x:c r="C72" t="str">
        <x:v>吉安市</x:v>
      </x:c>
      <x:c r="D72" t="str">
        <x:v>吉安县</x:v>
      </x:c>
      <x:c r="E72" t="str">
        <x:v>养老保险</x:v>
      </x:c>
      <x:c r="F72" t="str">
        <x:v>城乡居民养老金发放_万元</x:v>
      </x:c>
      <x:c r="G72" s="16" t="n">
        <x:v>22880</x:v>
      </x:c>
      <x:c r="H72" t="str">
        <x:v>万元</x:v>
      </x:c>
      <x:c r="I72" t="str">
        <x:v>二次转载</x:v>
      </x:c>
      <x:c r="J72" t="str">
        <x:v>2025年年末/全年，随指标定义</x:v>
      </x:c>
      <x:c r="K72" t="str">
        <x:v>https://maptable.com/tjgb/2025/%E5%90%89%E5%AE%89%E5%B8%82/%E5%90%89%E5%AE%89%E5%8E%BF/report/ji-an-shi-ji-an-xian-2025-nian-guo-min-jing-ji-he-she-hui-fa-zhan-tong-ji-gong-bao</x:v>
      </x:c>
      <x:c r="L72" t="str">
        <x:v>吉安县数据注明不含井冈山经开区。注意三类参保人数不是待遇领取人数，不可计算人均待遇。</x:v>
      </x:c>
    </x:row>
    <x:row r="73" ht="21" customHeight="1">
      <x:c r="A73" t="n">
        <x:v>2025</x:v>
      </x:c>
      <x:c r="B73" t="str">
        <x:v>县级</x:v>
      </x:c>
      <x:c r="C73" t="str">
        <x:v>吉安市</x:v>
      </x:c>
      <x:c r="D73" t="str">
        <x:v>峡江县</x:v>
      </x:c>
      <x:c r="E73" t="str">
        <x:v>人口经济</x:v>
      </x:c>
      <x:c r="F73" t="str">
        <x:v>常住人口_人</x:v>
      </x:c>
      <x:c r="G73" s="16" t="n">
        <x:v>142688</x:v>
      </x:c>
      <x:c r="H73" t="str">
        <x:v>人</x:v>
      </x:c>
      <x:c r="I73" t="str">
        <x:v>二次转载</x:v>
      </x:c>
      <x:c r="J73" t="str">
        <x:v>2025年年末/全年，随指标定义</x:v>
      </x:c>
      <x:c r="K73" t="str">
        <x:v>https://tjgb.hongheiku.com/xjtjgb/xj2020/73609.html</x:v>
      </x:c>
      <x:c r="L73" t="str">
        <x:v>三类参保人数与待遇人数均有公布；按年发放额及年末人数估算人均月待遇。</x:v>
      </x:c>
    </x:row>
    <x:row r="74" ht="21" customHeight="1">
      <x:c r="A74" t="n">
        <x:v>2025</x:v>
      </x:c>
      <x:c r="B74" t="str">
        <x:v>县级</x:v>
      </x:c>
      <x:c r="C74" t="str">
        <x:v>吉安市</x:v>
      </x:c>
      <x:c r="D74" t="str">
        <x:v>峡江县</x:v>
      </x:c>
      <x:c r="E74" t="str">
        <x:v>人口经济</x:v>
      </x:c>
      <x:c r="F74" t="str">
        <x:v>城镇常住人口_人</x:v>
      </x:c>
      <x:c r="G74" s="16" t="n">
        <x:v>76554</x:v>
      </x:c>
      <x:c r="H74" t="str">
        <x:v>人</x:v>
      </x:c>
      <x:c r="I74" t="str">
        <x:v>二次转载</x:v>
      </x:c>
      <x:c r="J74" t="str">
        <x:v>2025年年末/全年，随指标定义</x:v>
      </x:c>
      <x:c r="K74" t="str">
        <x:v>https://tjgb.hongheiku.com/xjtjgb/xj2020/73609.html</x:v>
      </x:c>
      <x:c r="L74" t="str">
        <x:v>三类参保人数与待遇人数均有公布；按年发放额及年末人数估算人均月待遇。</x:v>
      </x:c>
    </x:row>
    <x:row r="75" ht="21" customHeight="1">
      <x:c r="A75" t="n">
        <x:v>2025</x:v>
      </x:c>
      <x:c r="B75" t="str">
        <x:v>县级</x:v>
      </x:c>
      <x:c r="C75" t="str">
        <x:v>吉安市</x:v>
      </x:c>
      <x:c r="D75" t="str">
        <x:v>峡江县</x:v>
      </x:c>
      <x:c r="E75" t="str">
        <x:v>人口经济</x:v>
      </x:c>
      <x:c r="F75" t="str">
        <x:v>户籍人口_人</x:v>
      </x:c>
      <x:c r="G75" s="16" t="n">
        <x:v>187997</x:v>
      </x:c>
      <x:c r="H75" t="str">
        <x:v>人</x:v>
      </x:c>
      <x:c r="I75" t="str">
        <x:v>二次转载</x:v>
      </x:c>
      <x:c r="J75" t="str">
        <x:v>2025年年末/全年，随指标定义</x:v>
      </x:c>
      <x:c r="K75" t="str">
        <x:v>https://tjgb.hongheiku.com/xjtjgb/xj2020/73609.html</x:v>
      </x:c>
      <x:c r="L75" t="str">
        <x:v>三类参保人数与待遇人数均有公布；按年发放额及年末人数估算人均月待遇。</x:v>
      </x:c>
    </x:row>
    <x:row r="76" ht="21" customHeight="1">
      <x:c r="A76" t="n">
        <x:v>2025</x:v>
      </x:c>
      <x:c r="B76" t="str">
        <x:v>县级</x:v>
      </x:c>
      <x:c r="C76" t="str">
        <x:v>吉安市</x:v>
      </x:c>
      <x:c r="D76" t="str">
        <x:v>峡江县</x:v>
      </x:c>
      <x:c r="E76" t="str">
        <x:v>人口经济</x:v>
      </x:c>
      <x:c r="F76" t="str">
        <x:v>GDP_亿元</x:v>
      </x:c>
      <x:c r="G76" s="16" t="n">
        <x:v>119.64</x:v>
      </x:c>
      <x:c r="H76" t="str">
        <x:v>亿元</x:v>
      </x:c>
      <x:c r="I76" t="str">
        <x:v>二次转载</x:v>
      </x:c>
      <x:c r="J76" t="str">
        <x:v>2025年年末/全年，随指标定义</x:v>
      </x:c>
      <x:c r="K76" t="str">
        <x:v>https://tjgb.hongheiku.com/xjtjgb/xj2020/73609.html</x:v>
      </x:c>
      <x:c r="L76" t="str">
        <x:v>三类参保人数与待遇人数均有公布；按年发放额及年末人数估算人均月待遇。</x:v>
      </x:c>
    </x:row>
    <x:row r="77" ht="21" customHeight="1">
      <x:c r="A77" t="n">
        <x:v>2025</x:v>
      </x:c>
      <x:c r="B77" t="str">
        <x:v>县级</x:v>
      </x:c>
      <x:c r="C77" t="str">
        <x:v>吉安市</x:v>
      </x:c>
      <x:c r="D77" t="str">
        <x:v>峡江县</x:v>
      </x:c>
      <x:c r="E77" t="str">
        <x:v>就业</x:v>
      </x:c>
      <x:c r="F77" t="str">
        <x:v>城镇新增就业_人</x:v>
      </x:c>
      <x:c r="G77" s="16" t="n">
        <x:v>1366</x:v>
      </x:c>
      <x:c r="H77" t="str">
        <x:v>人</x:v>
      </x:c>
      <x:c r="I77" t="str">
        <x:v>二次转载</x:v>
      </x:c>
      <x:c r="J77" t="str">
        <x:v>2025年年末/全年，随指标定义</x:v>
      </x:c>
      <x:c r="K77" t="str">
        <x:v>https://tjgb.hongheiku.com/xjtjgb/xj2020/73609.html</x:v>
      </x:c>
      <x:c r="L77" t="str">
        <x:v>三类参保人数与待遇人数均有公布；按年发放额及年末人数估算人均月待遇。</x:v>
      </x:c>
    </x:row>
    <x:row r="78" ht="21" customHeight="1">
      <x:c r="A78" t="n">
        <x:v>2025</x:v>
      </x:c>
      <x:c r="B78" t="str">
        <x:v>县级</x:v>
      </x:c>
      <x:c r="C78" t="str">
        <x:v>吉安市</x:v>
      </x:c>
      <x:c r="D78" t="str">
        <x:v>峡江县</x:v>
      </x:c>
      <x:c r="E78" t="str">
        <x:v>人口经济</x:v>
      </x:c>
      <x:c r="F78" t="str">
        <x:v>城镇居民人均可支配收入_元</x:v>
      </x:c>
      <x:c r="G78" s="16" t="n">
        <x:v>41463</x:v>
      </x:c>
      <x:c r="H78" t="str">
        <x:v>元</x:v>
      </x:c>
      <x:c r="I78" t="str">
        <x:v>二次转载</x:v>
      </x:c>
      <x:c r="J78" t="str">
        <x:v>2025年年末/全年，随指标定义</x:v>
      </x:c>
      <x:c r="K78" t="str">
        <x:v>https://tjgb.hongheiku.com/xjtjgb/xj2020/73609.html</x:v>
      </x:c>
      <x:c r="L78" t="str">
        <x:v>三类参保人数与待遇人数均有公布；按年发放额及年末人数估算人均月待遇。</x:v>
      </x:c>
    </x:row>
    <x:row r="79" ht="21" customHeight="1">
      <x:c r="A79" t="n">
        <x:v>2025</x:v>
      </x:c>
      <x:c r="B79" t="str">
        <x:v>县级</x:v>
      </x:c>
      <x:c r="C79" t="str">
        <x:v>吉安市</x:v>
      </x:c>
      <x:c r="D79" t="str">
        <x:v>峡江县</x:v>
      </x:c>
      <x:c r="E79" t="str">
        <x:v>人口经济</x:v>
      </x:c>
      <x:c r="F79" t="str">
        <x:v>农村居民人均可支配收入_元</x:v>
      </x:c>
      <x:c r="G79" s="16" t="n">
        <x:v>21273</x:v>
      </x:c>
      <x:c r="H79" t="str">
        <x:v>元</x:v>
      </x:c>
      <x:c r="I79" t="str">
        <x:v>二次转载</x:v>
      </x:c>
      <x:c r="J79" t="str">
        <x:v>2025年年末/全年，随指标定义</x:v>
      </x:c>
      <x:c r="K79" t="str">
        <x:v>https://tjgb.hongheiku.com/xjtjgb/xj2020/73609.html</x:v>
      </x:c>
      <x:c r="L79" t="str">
        <x:v>三类参保人数与待遇人数均有公布；按年发放额及年末人数估算人均月待遇。</x:v>
      </x:c>
    </x:row>
    <x:row r="80" ht="21" customHeight="1">
      <x:c r="A80" t="n">
        <x:v>2025</x:v>
      </x:c>
      <x:c r="B80" t="str">
        <x:v>县级</x:v>
      </x:c>
      <x:c r="C80" t="str">
        <x:v>吉安市</x:v>
      </x:c>
      <x:c r="D80" t="str">
        <x:v>峡江县</x:v>
      </x:c>
      <x:c r="E80" t="str">
        <x:v>养老保险</x:v>
      </x:c>
      <x:c r="F80" t="str">
        <x:v>企业职工养老参保_人</x:v>
      </x:c>
      <x:c r="G80" s="16" t="n">
        <x:v>35187</x:v>
      </x:c>
      <x:c r="H80" t="str">
        <x:v>人</x:v>
      </x:c>
      <x:c r="I80" t="str">
        <x:v>二次转载</x:v>
      </x:c>
      <x:c r="J80" t="str">
        <x:v>2025年年末/全年，随指标定义</x:v>
      </x:c>
      <x:c r="K80" t="str">
        <x:v>https://tjgb.hongheiku.com/xjtjgb/xj2020/73609.html</x:v>
      </x:c>
      <x:c r="L80" t="str">
        <x:v>三类参保人数与待遇人数均有公布；按年发放额及年末人数估算人均月待遇。</x:v>
      </x:c>
    </x:row>
    <x:row r="81" ht="21" customHeight="1">
      <x:c r="A81" t="n">
        <x:v>2025</x:v>
      </x:c>
      <x:c r="B81" t="str">
        <x:v>县级</x:v>
      </x:c>
      <x:c r="C81" t="str">
        <x:v>吉安市</x:v>
      </x:c>
      <x:c r="D81" t="str">
        <x:v>峡江县</x:v>
      </x:c>
      <x:c r="E81" t="str">
        <x:v>养老保险</x:v>
      </x:c>
      <x:c r="F81" t="str">
        <x:v>机关事业养老参保_人</x:v>
      </x:c>
      <x:c r="G81" s="16" t="n">
        <x:v>7460</x:v>
      </x:c>
      <x:c r="H81" t="str">
        <x:v>人</x:v>
      </x:c>
      <x:c r="I81" t="str">
        <x:v>二次转载</x:v>
      </x:c>
      <x:c r="J81" t="str">
        <x:v>2025年年末/全年，随指标定义</x:v>
      </x:c>
      <x:c r="K81" t="str">
        <x:v>https://tjgb.hongheiku.com/xjtjgb/xj2020/73609.html</x:v>
      </x:c>
      <x:c r="L81" t="str">
        <x:v>三类参保人数与待遇人数均有公布；按年发放额及年末人数估算人均月待遇。</x:v>
      </x:c>
    </x:row>
    <x:row r="82" ht="21" customHeight="1">
      <x:c r="A82" t="n">
        <x:v>2025</x:v>
      </x:c>
      <x:c r="B82" t="str">
        <x:v>县级</x:v>
      </x:c>
      <x:c r="C82" t="str">
        <x:v>吉安市</x:v>
      </x:c>
      <x:c r="D82" t="str">
        <x:v>峡江县</x:v>
      </x:c>
      <x:c r="E82" t="str">
        <x:v>养老保险</x:v>
      </x:c>
      <x:c r="F82" t="str">
        <x:v>城乡居民养老参保_人</x:v>
      </x:c>
      <x:c r="G82" s="16" t="n">
        <x:v>75903</x:v>
      </x:c>
      <x:c r="H82" t="str">
        <x:v>人</x:v>
      </x:c>
      <x:c r="I82" t="str">
        <x:v>二次转载</x:v>
      </x:c>
      <x:c r="J82" t="str">
        <x:v>2025年年末/全年，随指标定义</x:v>
      </x:c>
      <x:c r="K82" t="str">
        <x:v>https://tjgb.hongheiku.com/xjtjgb/xj2020/73609.html</x:v>
      </x:c>
      <x:c r="L82" t="str">
        <x:v>三类参保人数与待遇人数均有公布；按年发放额及年末人数估算人均月待遇。</x:v>
      </x:c>
    </x:row>
    <x:row r="83" ht="21" customHeight="1">
      <x:c r="A83" t="n">
        <x:v>2025</x:v>
      </x:c>
      <x:c r="B83" t="str">
        <x:v>县级</x:v>
      </x:c>
      <x:c r="C83" t="str">
        <x:v>吉安市</x:v>
      </x:c>
      <x:c r="D83" t="str">
        <x:v>峡江县</x:v>
      </x:c>
      <x:c r="E83" t="str">
        <x:v>养老保险</x:v>
      </x:c>
      <x:c r="F83" t="str">
        <x:v>企业离退休待遇人数_人</x:v>
      </x:c>
      <x:c r="G83" s="16" t="n">
        <x:v>11273</x:v>
      </x:c>
      <x:c r="H83" t="str">
        <x:v>人</x:v>
      </x:c>
      <x:c r="I83" t="str">
        <x:v>二次转载</x:v>
      </x:c>
      <x:c r="J83" t="str">
        <x:v>2025年年末/全年，随指标定义</x:v>
      </x:c>
      <x:c r="K83" t="str">
        <x:v>https://tjgb.hongheiku.com/xjtjgb/xj2020/73609.html</x:v>
      </x:c>
      <x:c r="L83" t="str">
        <x:v>三类参保人数与待遇人数均有公布；按年发放额及年末人数估算人均月待遇。</x:v>
      </x:c>
    </x:row>
    <x:row r="84" ht="21" customHeight="1">
      <x:c r="A84" t="n">
        <x:v>2025</x:v>
      </x:c>
      <x:c r="B84" t="str">
        <x:v>县级</x:v>
      </x:c>
      <x:c r="C84" t="str">
        <x:v>吉安市</x:v>
      </x:c>
      <x:c r="D84" t="str">
        <x:v>峡江县</x:v>
      </x:c>
      <x:c r="E84" t="str">
        <x:v>养老保险</x:v>
      </x:c>
      <x:c r="F84" t="str">
        <x:v>机关事业退休待遇人数_人</x:v>
      </x:c>
      <x:c r="G84" s="16" t="n">
        <x:v>2508</x:v>
      </x:c>
      <x:c r="H84" t="str">
        <x:v>人</x:v>
      </x:c>
      <x:c r="I84" t="str">
        <x:v>二次转载</x:v>
      </x:c>
      <x:c r="J84" t="str">
        <x:v>2025年年末/全年，随指标定义</x:v>
      </x:c>
      <x:c r="K84" t="str">
        <x:v>https://tjgb.hongheiku.com/xjtjgb/xj2020/73609.html</x:v>
      </x:c>
      <x:c r="L84" t="str">
        <x:v>三类参保人数与待遇人数均有公布；按年发放额及年末人数估算人均月待遇。</x:v>
      </x:c>
    </x:row>
    <x:row r="85" ht="21" customHeight="1">
      <x:c r="A85" t="n">
        <x:v>2025</x:v>
      </x:c>
      <x:c r="B85" t="str">
        <x:v>县级</x:v>
      </x:c>
      <x:c r="C85" t="str">
        <x:v>吉安市</x:v>
      </x:c>
      <x:c r="D85" t="str">
        <x:v>峡江县</x:v>
      </x:c>
      <x:c r="E85" t="str">
        <x:v>养老保险</x:v>
      </x:c>
      <x:c r="F85" t="str">
        <x:v>城乡居民养老金领取人数_人</x:v>
      </x:c>
      <x:c r="G85" s="16" t="n">
        <x:v>27367</x:v>
      </x:c>
      <x:c r="H85" t="str">
        <x:v>人</x:v>
      </x:c>
      <x:c r="I85" t="str">
        <x:v>二次转载</x:v>
      </x:c>
      <x:c r="J85" t="str">
        <x:v>2025年年末/全年，随指标定义</x:v>
      </x:c>
      <x:c r="K85" t="str">
        <x:v>https://tjgb.hongheiku.com/xjtjgb/xj2020/73609.html</x:v>
      </x:c>
      <x:c r="L85" t="str">
        <x:v>三类参保人数与待遇人数均有公布；按年发放额及年末人数估算人均月待遇。</x:v>
      </x:c>
    </x:row>
    <x:row r="86" ht="21" customHeight="1">
      <x:c r="A86" t="n">
        <x:v>2025</x:v>
      </x:c>
      <x:c r="B86" t="str">
        <x:v>县级</x:v>
      </x:c>
      <x:c r="C86" t="str">
        <x:v>吉安市</x:v>
      </x:c>
      <x:c r="D86" t="str">
        <x:v>峡江县</x:v>
      </x:c>
      <x:c r="E86" t="str">
        <x:v>养老保险</x:v>
      </x:c>
      <x:c r="F86" t="str">
        <x:v>企业离退休养老金发放_万元</x:v>
      </x:c>
      <x:c r="G86" s="16" t="n">
        <x:v>29571.25</x:v>
      </x:c>
      <x:c r="H86" t="str">
        <x:v>万元</x:v>
      </x:c>
      <x:c r="I86" t="str">
        <x:v>二次转载</x:v>
      </x:c>
      <x:c r="J86" t="str">
        <x:v>2025年年末/全年，随指标定义</x:v>
      </x:c>
      <x:c r="K86" t="str">
        <x:v>https://tjgb.hongheiku.com/xjtjgb/xj2020/73609.html</x:v>
      </x:c>
      <x:c r="L86" t="str">
        <x:v>三类参保人数与待遇人数均有公布；按年发放额及年末人数估算人均月待遇。</x:v>
      </x:c>
    </x:row>
    <x:row r="87" ht="21" customHeight="1">
      <x:c r="A87" t="n">
        <x:v>2025</x:v>
      </x:c>
      <x:c r="B87" t="str">
        <x:v>县级</x:v>
      </x:c>
      <x:c r="C87" t="str">
        <x:v>吉安市</x:v>
      </x:c>
      <x:c r="D87" t="str">
        <x:v>峡江县</x:v>
      </x:c>
      <x:c r="E87" t="str">
        <x:v>养老保险</x:v>
      </x:c>
      <x:c r="F87" t="str">
        <x:v>机关事业养老金发放_万元</x:v>
      </x:c>
      <x:c r="G87" s="16" t="n">
        <x:v>16218.5</x:v>
      </x:c>
      <x:c r="H87" t="str">
        <x:v>万元</x:v>
      </x:c>
      <x:c r="I87" t="str">
        <x:v>二次转载</x:v>
      </x:c>
      <x:c r="J87" t="str">
        <x:v>2025年年末/全年，随指标定义</x:v>
      </x:c>
      <x:c r="K87" t="str">
        <x:v>https://tjgb.hongheiku.com/xjtjgb/xj2020/73609.html</x:v>
      </x:c>
      <x:c r="L87" t="str">
        <x:v>三类参保人数与待遇人数均有公布；按年发放额及年末人数估算人均月待遇。</x:v>
      </x:c>
    </x:row>
    <x:row r="88" ht="21" customHeight="1">
      <x:c r="A88" t="n">
        <x:v>2025</x:v>
      </x:c>
      <x:c r="B88" t="str">
        <x:v>县级</x:v>
      </x:c>
      <x:c r="C88" t="str">
        <x:v>吉安市</x:v>
      </x:c>
      <x:c r="D88" t="str">
        <x:v>峡江县</x:v>
      </x:c>
      <x:c r="E88" t="str">
        <x:v>养老保险</x:v>
      </x:c>
      <x:c r="F88" t="str">
        <x:v>城乡居民养老金发放_万元</x:v>
      </x:c>
      <x:c r="G88" s="16" t="n">
        <x:v>7910.83</x:v>
      </x:c>
      <x:c r="H88" t="str">
        <x:v>万元</x:v>
      </x:c>
      <x:c r="I88" t="str">
        <x:v>二次转载</x:v>
      </x:c>
      <x:c r="J88" t="str">
        <x:v>2025年年末/全年，随指标定义</x:v>
      </x:c>
      <x:c r="K88" t="str">
        <x:v>https://tjgb.hongheiku.com/xjtjgb/xj2020/73609.html</x:v>
      </x:c>
      <x:c r="L88" t="str">
        <x:v>三类参保人数与待遇人数均有公布；按年发放额及年末人数估算人均月待遇。</x:v>
      </x:c>
    </x:row>
    <x:row r="89" ht="21" customHeight="1">
      <x:c r="A89" t="n">
        <x:v>2025</x:v>
      </x:c>
      <x:c r="B89" t="str">
        <x:v>县级</x:v>
      </x:c>
      <x:c r="C89" t="str">
        <x:v>吉安市</x:v>
      </x:c>
      <x:c r="D89" t="str">
        <x:v>永丰县</x:v>
      </x:c>
      <x:c r="E89" t="str">
        <x:v>人口经济</x:v>
      </x:c>
      <x:c r="F89" t="str">
        <x:v>常住人口_人</x:v>
      </x:c>
      <x:c r="G89" s="16" t="n">
        <x:v>367555</x:v>
      </x:c>
      <x:c r="H89" t="str">
        <x:v>人</x:v>
      </x:c>
      <x:c r="I89" t="str">
        <x:v>二次转载</x:v>
      </x:c>
      <x:c r="J89" t="str">
        <x:v>2025年年末/全年，随指标定义</x:v>
      </x:c>
      <x:c r="K89" t="str">
        <x:v>https://maptable.com/tjgb/2025/%E5%90%89%E5%AE%89%E5%B8%82/%E6%B0%B8%E4%B8%B0%E5%8E%BF/report/ji-an-shi-yong-feng-xian-2025-nian-guo-min-jing-ji-he-she-hui-fa-zhan-tong-ji-gong-bao-2</x:v>
      </x:c>
      <x:c r="L89" t="str">
        <x:v>企业职工养老参保5.78万为公报所述在职职工人数，并非含退休人员总参保；离退休人员单列。机关参保1.49万。</x:v>
      </x:c>
    </x:row>
    <x:row r="90" ht="21" customHeight="1">
      <x:c r="A90" t="n">
        <x:v>2025</x:v>
      </x:c>
      <x:c r="B90" t="str">
        <x:v>县级</x:v>
      </x:c>
      <x:c r="C90" t="str">
        <x:v>吉安市</x:v>
      </x:c>
      <x:c r="D90" t="str">
        <x:v>永丰县</x:v>
      </x:c>
      <x:c r="E90" t="str">
        <x:v>人口经济</x:v>
      </x:c>
      <x:c r="F90" t="str">
        <x:v>户籍人口_人</x:v>
      </x:c>
      <x:c r="G90" s="16" t="n">
        <x:v>492476</x:v>
      </x:c>
      <x:c r="H90" t="str">
        <x:v>人</x:v>
      </x:c>
      <x:c r="I90" t="str">
        <x:v>二次转载</x:v>
      </x:c>
      <x:c r="J90" t="str">
        <x:v>2025年年末/全年，随指标定义</x:v>
      </x:c>
      <x:c r="K90" t="str">
        <x:v>https://maptable.com/tjgb/2025/%E5%90%89%E5%AE%89%E5%B8%82/%E6%B0%B8%E4%B8%B0%E5%8E%BF/report/ji-an-shi-yong-feng-xian-2025-nian-guo-min-jing-ji-he-she-hui-fa-zhan-tong-ji-gong-bao-2</x:v>
      </x:c>
      <x:c r="L90" t="str">
        <x:v>企业职工养老参保5.78万为公报所述在职职工人数，并非含退休人员总参保；离退休人员单列。机关参保1.49万。</x:v>
      </x:c>
    </x:row>
    <x:row r="91" ht="21" customHeight="1">
      <x:c r="A91" t="n">
        <x:v>2025</x:v>
      </x:c>
      <x:c r="B91" t="str">
        <x:v>县级</x:v>
      </x:c>
      <x:c r="C91" t="str">
        <x:v>吉安市</x:v>
      </x:c>
      <x:c r="D91" t="str">
        <x:v>永丰县</x:v>
      </x:c>
      <x:c r="E91" t="str">
        <x:v>就业</x:v>
      </x:c>
      <x:c r="F91" t="str">
        <x:v>城镇新增就业_人</x:v>
      </x:c>
      <x:c r="G91" s="16" t="n">
        <x:v>3032</x:v>
      </x:c>
      <x:c r="H91" t="str">
        <x:v>人</x:v>
      </x:c>
      <x:c r="I91" t="str">
        <x:v>二次转载</x:v>
      </x:c>
      <x:c r="J91" t="str">
        <x:v>2025年年末/全年，随指标定义</x:v>
      </x:c>
      <x:c r="K91" t="str">
        <x:v>https://maptable.com/tjgb/2025/%E5%90%89%E5%AE%89%E5%B8%82/%E6%B0%B8%E4%B8%B0%E5%8E%BF/report/ji-an-shi-yong-feng-xian-2025-nian-guo-min-jing-ji-he-she-hui-fa-zhan-tong-ji-gong-bao-2</x:v>
      </x:c>
      <x:c r="L91" t="str">
        <x:v>企业职工养老参保5.78万为公报所述在职职工人数，并非含退休人员总参保；离退休人员单列。机关参保1.49万。</x:v>
      </x:c>
    </x:row>
    <x:row r="92" ht="21" customHeight="1">
      <x:c r="A92" t="n">
        <x:v>2025</x:v>
      </x:c>
      <x:c r="B92" t="str">
        <x:v>县级</x:v>
      </x:c>
      <x:c r="C92" t="str">
        <x:v>吉安市</x:v>
      </x:c>
      <x:c r="D92" t="str">
        <x:v>永丰县</x:v>
      </x:c>
      <x:c r="E92" t="str">
        <x:v>就业</x:v>
      </x:c>
      <x:c r="F92" t="str">
        <x:v>失业人员再就业_人</x:v>
      </x:c>
      <x:c r="G92" s="16" t="n">
        <x:v>1106</x:v>
      </x:c>
      <x:c r="H92" t="str">
        <x:v>人</x:v>
      </x:c>
      <x:c r="I92" t="str">
        <x:v>二次转载</x:v>
      </x:c>
      <x:c r="J92" t="str">
        <x:v>2025年年末/全年，随指标定义</x:v>
      </x:c>
      <x:c r="K92" t="str">
        <x:v>https://maptable.com/tjgb/2025/%E5%90%89%E5%AE%89%E5%B8%82/%E6%B0%B8%E4%B8%B0%E5%8E%BF/report/ji-an-shi-yong-feng-xian-2025-nian-guo-min-jing-ji-he-she-hui-fa-zhan-tong-ji-gong-bao-2</x:v>
      </x:c>
      <x:c r="L92" t="str">
        <x:v>企业职工养老参保5.78万为公报所述在职职工人数，并非含退休人员总参保；离退休人员单列。机关参保1.49万。</x:v>
      </x:c>
    </x:row>
    <x:row r="93" ht="21" customHeight="1">
      <x:c r="A93" t="n">
        <x:v>2025</x:v>
      </x:c>
      <x:c r="B93" t="str">
        <x:v>县级</x:v>
      </x:c>
      <x:c r="C93" t="str">
        <x:v>吉安市</x:v>
      </x:c>
      <x:c r="D93" t="str">
        <x:v>永丰县</x:v>
      </x:c>
      <x:c r="E93" t="str">
        <x:v>就业</x:v>
      </x:c>
      <x:c r="F93" t="str">
        <x:v>就业困难人员就业_人</x:v>
      </x:c>
      <x:c r="G93" s="16" t="n">
        <x:v>434</x:v>
      </x:c>
      <x:c r="H93" t="str">
        <x:v>人</x:v>
      </x:c>
      <x:c r="I93" t="str">
        <x:v>二次转载</x:v>
      </x:c>
      <x:c r="J93" t="str">
        <x:v>2025年年末/全年，随指标定义</x:v>
      </x:c>
      <x:c r="K93" t="str">
        <x:v>https://maptable.com/tjgb/2025/%E5%90%89%E5%AE%89%E5%B8%82/%E6%B0%B8%E4%B8%B0%E5%8E%BF/report/ji-an-shi-yong-feng-xian-2025-nian-guo-min-jing-ji-he-she-hui-fa-zhan-tong-ji-gong-bao-2</x:v>
      </x:c>
      <x:c r="L93" t="str">
        <x:v>企业职工养老参保5.78万为公报所述在职职工人数，并非含退休人员总参保；离退休人员单列。机关参保1.49万。</x:v>
      </x:c>
    </x:row>
    <x:row r="94" ht="21" customHeight="1">
      <x:c r="A94" t="n">
        <x:v>2025</x:v>
      </x:c>
      <x:c r="B94" t="str">
        <x:v>县级</x:v>
      </x:c>
      <x:c r="C94" t="str">
        <x:v>吉安市</x:v>
      </x:c>
      <x:c r="D94" t="str">
        <x:v>永丰县</x:v>
      </x:c>
      <x:c r="E94" t="str">
        <x:v>人口经济</x:v>
      </x:c>
      <x:c r="F94" t="str">
        <x:v>城镇居民人均可支配收入_元</x:v>
      </x:c>
      <x:c r="G94" s="16" t="n">
        <x:v>46797</x:v>
      </x:c>
      <x:c r="H94" t="str">
        <x:v>元</x:v>
      </x:c>
      <x:c r="I94" t="str">
        <x:v>二次转载</x:v>
      </x:c>
      <x:c r="J94" t="str">
        <x:v>2025年年末/全年，随指标定义</x:v>
      </x:c>
      <x:c r="K94" t="str">
        <x:v>https://maptable.com/tjgb/2025/%E5%90%89%E5%AE%89%E5%B8%82/%E6%B0%B8%E4%B8%B0%E5%8E%BF/report/ji-an-shi-yong-feng-xian-2025-nian-guo-min-jing-ji-he-she-hui-fa-zhan-tong-ji-gong-bao-2</x:v>
      </x:c>
      <x:c r="L94" t="str">
        <x:v>企业职工养老参保5.78万为公报所述在职职工人数，并非含退休人员总参保；离退休人员单列。机关参保1.49万。</x:v>
      </x:c>
    </x:row>
    <x:row r="95" ht="21" customHeight="1">
      <x:c r="A95" t="n">
        <x:v>2025</x:v>
      </x:c>
      <x:c r="B95" t="str">
        <x:v>县级</x:v>
      </x:c>
      <x:c r="C95" t="str">
        <x:v>吉安市</x:v>
      </x:c>
      <x:c r="D95" t="str">
        <x:v>永丰县</x:v>
      </x:c>
      <x:c r="E95" t="str">
        <x:v>人口经济</x:v>
      </x:c>
      <x:c r="F95" t="str">
        <x:v>农村居民人均可支配收入_元</x:v>
      </x:c>
      <x:c r="G95" s="16" t="n">
        <x:v>27921</x:v>
      </x:c>
      <x:c r="H95" t="str">
        <x:v>元</x:v>
      </x:c>
      <x:c r="I95" t="str">
        <x:v>二次转载</x:v>
      </x:c>
      <x:c r="J95" t="str">
        <x:v>2025年年末/全年，随指标定义</x:v>
      </x:c>
      <x:c r="K95" t="str">
        <x:v>https://maptable.com/tjgb/2025/%E5%90%89%E5%AE%89%E5%B8%82/%E6%B0%B8%E4%B8%B0%E5%8E%BF/report/ji-an-shi-yong-feng-xian-2025-nian-guo-min-jing-ji-he-she-hui-fa-zhan-tong-ji-gong-bao-2</x:v>
      </x:c>
      <x:c r="L95" t="str">
        <x:v>企业职工养老参保5.78万为公报所述在职职工人数，并非含退休人员总参保；离退休人员单列。机关参保1.49万。</x:v>
      </x:c>
    </x:row>
    <x:row r="96" ht="21" customHeight="1">
      <x:c r="A96" t="n">
        <x:v>2025</x:v>
      </x:c>
      <x:c r="B96" t="str">
        <x:v>县级</x:v>
      </x:c>
      <x:c r="C96" t="str">
        <x:v>吉安市</x:v>
      </x:c>
      <x:c r="D96" t="str">
        <x:v>永丰县</x:v>
      </x:c>
      <x:c r="E96" t="str">
        <x:v>养老保险</x:v>
      </x:c>
      <x:c r="F96" t="str">
        <x:v>企业职工养老参保_人</x:v>
      </x:c>
      <x:c r="G96" s="16" t="n">
        <x:v>57800</x:v>
      </x:c>
      <x:c r="H96" t="str">
        <x:v>人</x:v>
      </x:c>
      <x:c r="I96" t="str">
        <x:v>二次转载</x:v>
      </x:c>
      <x:c r="J96" t="str">
        <x:v>2025年年末/全年，随指标定义</x:v>
      </x:c>
      <x:c r="K96" t="str">
        <x:v>https://maptable.com/tjgb/2025/%E5%90%89%E5%AE%89%E5%B8%82/%E6%B0%B8%E4%B8%B0%E5%8E%BF/report/ji-an-shi-yong-feng-xian-2025-nian-guo-min-jing-ji-he-she-hui-fa-zhan-tong-ji-gong-bao-2</x:v>
      </x:c>
      <x:c r="L96" t="str">
        <x:v>企业职工养老参保5.78万为公报所述在职职工人数，并非含退休人员总参保；离退休人员单列。机关参保1.49万。</x:v>
      </x:c>
    </x:row>
    <x:row r="97" ht="21" customHeight="1">
      <x:c r="A97" t="n">
        <x:v>2025</x:v>
      </x:c>
      <x:c r="B97" t="str">
        <x:v>县级</x:v>
      </x:c>
      <x:c r="C97" t="str">
        <x:v>吉安市</x:v>
      </x:c>
      <x:c r="D97" t="str">
        <x:v>永丰县</x:v>
      </x:c>
      <x:c r="E97" t="str">
        <x:v>养老保险</x:v>
      </x:c>
      <x:c r="F97" t="str">
        <x:v>机关事业养老参保_人</x:v>
      </x:c>
      <x:c r="G97" s="16" t="n">
        <x:v>14900</x:v>
      </x:c>
      <x:c r="H97" t="str">
        <x:v>人</x:v>
      </x:c>
      <x:c r="I97" t="str">
        <x:v>二次转载</x:v>
      </x:c>
      <x:c r="J97" t="str">
        <x:v>2025年年末/全年，随指标定义</x:v>
      </x:c>
      <x:c r="K97" t="str">
        <x:v>https://maptable.com/tjgb/2025/%E5%90%89%E5%AE%89%E5%B8%82/%E6%B0%B8%E4%B8%B0%E5%8E%BF/report/ji-an-shi-yong-feng-xian-2025-nian-guo-min-jing-ji-he-she-hui-fa-zhan-tong-ji-gong-bao-2</x:v>
      </x:c>
      <x:c r="L97" t="str">
        <x:v>企业职工养老参保5.78万为公报所述在职职工人数，并非含退休人员总参保；离退休人员单列。机关参保1.49万。</x:v>
      </x:c>
    </x:row>
    <x:row r="98" ht="21" customHeight="1">
      <x:c r="A98" t="n">
        <x:v>2025</x:v>
      </x:c>
      <x:c r="B98" t="str">
        <x:v>县级</x:v>
      </x:c>
      <x:c r="C98" t="str">
        <x:v>吉安市</x:v>
      </x:c>
      <x:c r="D98" t="str">
        <x:v>永丰县</x:v>
      </x:c>
      <x:c r="E98" t="str">
        <x:v>养老保险</x:v>
      </x:c>
      <x:c r="F98" t="str">
        <x:v>城乡居民养老参保_人</x:v>
      </x:c>
      <x:c r="G98" s="16" t="n">
        <x:v>230000</x:v>
      </x:c>
      <x:c r="H98" t="str">
        <x:v>人</x:v>
      </x:c>
      <x:c r="I98" t="str">
        <x:v>二次转载</x:v>
      </x:c>
      <x:c r="J98" t="str">
        <x:v>2025年年末/全年，随指标定义</x:v>
      </x:c>
      <x:c r="K98" t="str">
        <x:v>https://maptable.com/tjgb/2025/%E5%90%89%E5%AE%89%E5%B8%82/%E6%B0%B8%E4%B8%B0%E5%8E%BF/report/ji-an-shi-yong-feng-xian-2025-nian-guo-min-jing-ji-he-she-hui-fa-zhan-tong-ji-gong-bao-2</x:v>
      </x:c>
      <x:c r="L98" t="str">
        <x:v>企业职工养老参保5.78万为公报所述在职职工人数，并非含退休人员总参保；离退休人员单列。机关参保1.49万。</x:v>
      </x:c>
    </x:row>
    <x:row r="99" ht="21" customHeight="1">
      <x:c r="A99" t="n">
        <x:v>2025</x:v>
      </x:c>
      <x:c r="B99" t="str">
        <x:v>县级</x:v>
      </x:c>
      <x:c r="C99" t="str">
        <x:v>吉安市</x:v>
      </x:c>
      <x:c r="D99" t="str">
        <x:v>永丰县</x:v>
      </x:c>
      <x:c r="E99" t="str">
        <x:v>养老保险</x:v>
      </x:c>
      <x:c r="F99" t="str">
        <x:v>企业离退休待遇人数_人</x:v>
      </x:c>
      <x:c r="G99" s="16" t="n">
        <x:v>15100</x:v>
      </x:c>
      <x:c r="H99" t="str">
        <x:v>人</x:v>
      </x:c>
      <x:c r="I99" t="str">
        <x:v>二次转载</x:v>
      </x:c>
      <x:c r="J99" t="str">
        <x:v>2025年年末/全年，随指标定义</x:v>
      </x:c>
      <x:c r="K99" t="str">
        <x:v>https://maptable.com/tjgb/2025/%E5%90%89%E5%AE%89%E5%B8%82/%E6%B0%B8%E4%B8%B0%E5%8E%BF/report/ji-an-shi-yong-feng-xian-2025-nian-guo-min-jing-ji-he-she-hui-fa-zhan-tong-ji-gong-bao-2</x:v>
      </x:c>
      <x:c r="L99" t="str">
        <x:v>企业职工养老参保5.78万为公报所述在职职工人数，并非含退休人员总参保；离退休人员单列。机关参保1.49万。</x:v>
      </x:c>
    </x:row>
    <x:row r="100" ht="21" customHeight="1">
      <x:c r="A100" t="n">
        <x:v>2025</x:v>
      </x:c>
      <x:c r="B100" t="str">
        <x:v>县级</x:v>
      </x:c>
      <x:c r="C100" t="str">
        <x:v>吉安市</x:v>
      </x:c>
      <x:c r="D100" t="str">
        <x:v>永丰县</x:v>
      </x:c>
      <x:c r="E100" t="str">
        <x:v>养老保险</x:v>
      </x:c>
      <x:c r="F100" t="str">
        <x:v>机关事业退休待遇人数_人</x:v>
      </x:c>
      <x:c r="G100" s="16" t="n">
        <x:v>4500</x:v>
      </x:c>
      <x:c r="H100" t="str">
        <x:v>人</x:v>
      </x:c>
      <x:c r="I100" t="str">
        <x:v>二次转载</x:v>
      </x:c>
      <x:c r="J100" t="str">
        <x:v>2025年年末/全年，随指标定义</x:v>
      </x:c>
      <x:c r="K100" t="str">
        <x:v>https://maptable.com/tjgb/2025/%E5%90%89%E5%AE%89%E5%B8%82/%E6%B0%B8%E4%B8%B0%E5%8E%BF/report/ji-an-shi-yong-feng-xian-2025-nian-guo-min-jing-ji-he-she-hui-fa-zhan-tong-ji-gong-bao-2</x:v>
      </x:c>
      <x:c r="L100" t="str">
        <x:v>企业职工养老参保5.78万为公报所述在职职工人数，并非含退休人员总参保；离退休人员单列。机关参保1.49万。</x:v>
      </x:c>
    </x:row>
    <x:row r="101" ht="21" customHeight="1">
      <x:c r="A101" t="n">
        <x:v>2025</x:v>
      </x:c>
      <x:c r="B101" t="str">
        <x:v>县级</x:v>
      </x:c>
      <x:c r="C101" t="str">
        <x:v>吉安市</x:v>
      </x:c>
      <x:c r="D101" t="str">
        <x:v>永丰县</x:v>
      </x:c>
      <x:c r="E101" t="str">
        <x:v>养老保险</x:v>
      </x:c>
      <x:c r="F101" t="str">
        <x:v>城乡居民养老金领取人数_人</x:v>
      </x:c>
      <x:c r="G101" s="16" t="n">
        <x:v>69200</x:v>
      </x:c>
      <x:c r="H101" t="str">
        <x:v>人</x:v>
      </x:c>
      <x:c r="I101" t="str">
        <x:v>二次转载</x:v>
      </x:c>
      <x:c r="J101" t="str">
        <x:v>2025年年末/全年，随指标定义</x:v>
      </x:c>
      <x:c r="K101" t="str">
        <x:v>https://maptable.com/tjgb/2025/%E5%90%89%E5%AE%89%E5%B8%82/%E6%B0%B8%E4%B8%B0%E5%8E%BF/report/ji-an-shi-yong-feng-xian-2025-nian-guo-min-jing-ji-he-she-hui-fa-zhan-tong-ji-gong-bao-2</x:v>
      </x:c>
      <x:c r="L101" t="str">
        <x:v>企业职工养老参保5.78万为公报所述在职职工人数，并非含退休人员总参保；离退休人员单列。机关参保1.49万。</x:v>
      </x:c>
    </x:row>
    <x:row r="102" ht="21" customHeight="1">
      <x:c r="A102" t="n">
        <x:v>2025</x:v>
      </x:c>
      <x:c r="B102" t="str">
        <x:v>县级</x:v>
      </x:c>
      <x:c r="C102" t="str">
        <x:v>吉安市</x:v>
      </x:c>
      <x:c r="D102" t="str">
        <x:v>泰和县</x:v>
      </x:c>
      <x:c r="E102" t="str">
        <x:v>人口经济</x:v>
      </x:c>
      <x:c r="F102" t="str">
        <x:v>常住人口_人</x:v>
      </x:c>
      <x:c r="G102" s="16" t="n">
        <x:v>437914</x:v>
      </x:c>
      <x:c r="H102" t="str">
        <x:v>人</x:v>
      </x:c>
      <x:c r="I102" t="str">
        <x:v>二次转载</x:v>
      </x:c>
      <x:c r="J102" t="str">
        <x:v>2025年年末/全年，随指标定义</x:v>
      </x:c>
      <x:c r="K102" t="str">
        <x:v>https://tjgb.hongheiku.com/xjtjgb/xj2020/70172.html</x:v>
      </x:c>
      <x:c r="L102" t="str"/>
    </x:row>
    <x:row r="103" ht="21" customHeight="1">
      <x:c r="A103" t="n">
        <x:v>2025</x:v>
      </x:c>
      <x:c r="B103" t="str">
        <x:v>县级</x:v>
      </x:c>
      <x:c r="C103" t="str">
        <x:v>吉安市</x:v>
      </x:c>
      <x:c r="D103" t="str">
        <x:v>泰和县</x:v>
      </x:c>
      <x:c r="E103" t="str">
        <x:v>人口经济</x:v>
      </x:c>
      <x:c r="F103" t="str">
        <x:v>城镇常住人口_人</x:v>
      </x:c>
      <x:c r="G103" s="16" t="n">
        <x:v>239968</x:v>
      </x:c>
      <x:c r="H103" t="str">
        <x:v>人</x:v>
      </x:c>
      <x:c r="I103" t="str">
        <x:v>二次转载</x:v>
      </x:c>
      <x:c r="J103" t="str">
        <x:v>2025年年末/全年，随指标定义</x:v>
      </x:c>
      <x:c r="K103" t="str">
        <x:v>https://tjgb.hongheiku.com/xjtjgb/xj2020/70172.html</x:v>
      </x:c>
      <x:c r="L103" t="str"/>
    </x:row>
    <x:row r="104" ht="21" customHeight="1">
      <x:c r="A104" t="n">
        <x:v>2025</x:v>
      </x:c>
      <x:c r="B104" t="str">
        <x:v>县级</x:v>
      </x:c>
      <x:c r="C104" t="str">
        <x:v>吉安市</x:v>
      </x:c>
      <x:c r="D104" t="str">
        <x:v>泰和县</x:v>
      </x:c>
      <x:c r="E104" t="str">
        <x:v>人口经济</x:v>
      </x:c>
      <x:c r="F104" t="str">
        <x:v>户籍人口_人</x:v>
      </x:c>
      <x:c r="G104" s="16" t="n">
        <x:v>570046</x:v>
      </x:c>
      <x:c r="H104" t="str">
        <x:v>人</x:v>
      </x:c>
      <x:c r="I104" t="str">
        <x:v>二次转载</x:v>
      </x:c>
      <x:c r="J104" t="str">
        <x:v>2025年年末/全年，随指标定义</x:v>
      </x:c>
      <x:c r="K104" t="str">
        <x:v>https://tjgb.hongheiku.com/xjtjgb/xj2020/70172.html</x:v>
      </x:c>
      <x:c r="L104" t="str"/>
    </x:row>
    <x:row r="105" ht="21" customHeight="1">
      <x:c r="A105" t="n">
        <x:v>2025</x:v>
      </x:c>
      <x:c r="B105" t="str">
        <x:v>县级</x:v>
      </x:c>
      <x:c r="C105" t="str">
        <x:v>吉安市</x:v>
      </x:c>
      <x:c r="D105" t="str">
        <x:v>泰和县</x:v>
      </x:c>
      <x:c r="E105" t="str">
        <x:v>人口经济</x:v>
      </x:c>
      <x:c r="F105" t="str">
        <x:v>GDP_亿元</x:v>
      </x:c>
      <x:c r="G105" s="16" t="n">
        <x:v>264.01</x:v>
      </x:c>
      <x:c r="H105" t="str">
        <x:v>亿元</x:v>
      </x:c>
      <x:c r="I105" t="str">
        <x:v>二次转载</x:v>
      </x:c>
      <x:c r="J105" t="str">
        <x:v>2025年年末/全年，随指标定义</x:v>
      </x:c>
      <x:c r="K105" t="str">
        <x:v>https://tjgb.hongheiku.com/xjtjgb/xj2020/70172.html</x:v>
      </x:c>
      <x:c r="L105" t="str"/>
    </x:row>
    <x:row r="106" ht="21" customHeight="1">
      <x:c r="A106" t="n">
        <x:v>2025</x:v>
      </x:c>
      <x:c r="B106" t="str">
        <x:v>县级</x:v>
      </x:c>
      <x:c r="C106" t="str">
        <x:v>吉安市</x:v>
      </x:c>
      <x:c r="D106" t="str">
        <x:v>泰和县</x:v>
      </x:c>
      <x:c r="E106" t="str">
        <x:v>养老保险</x:v>
      </x:c>
      <x:c r="F106" t="str">
        <x:v>城乡居民养老参保_人</x:v>
      </x:c>
      <x:c r="G106" s="16" t="n">
        <x:v>249300</x:v>
      </x:c>
      <x:c r="H106" t="str">
        <x:v>人</x:v>
      </x:c>
      <x:c r="I106" t="str">
        <x:v>二次转载</x:v>
      </x:c>
      <x:c r="J106" t="str">
        <x:v>2025年年末/全年，随指标定义</x:v>
      </x:c>
      <x:c r="K106" t="str">
        <x:v>https://tjgb.hongheiku.com/xjtjgb/xj2020/70172.html</x:v>
      </x:c>
      <x:c r="L106" t="str"/>
    </x:row>
    <x:row r="107" ht="21" customHeight="1">
      <x:c r="A107" t="n">
        <x:v>2025</x:v>
      </x:c>
      <x:c r="B107" t="str">
        <x:v>县级</x:v>
      </x:c>
      <x:c r="C107" t="str">
        <x:v>吉安市</x:v>
      </x:c>
      <x:c r="D107" t="str">
        <x:v>泰和县</x:v>
      </x:c>
      <x:c r="E107" t="str">
        <x:v>人口经济</x:v>
      </x:c>
      <x:c r="F107" t="str">
        <x:v>城镇居民人均可支配收入_元</x:v>
      </x:c>
      <x:c r="G107" s="16" t="n">
        <x:v>43291</x:v>
      </x:c>
      <x:c r="H107" t="str">
        <x:v>元</x:v>
      </x:c>
      <x:c r="I107" t="str">
        <x:v>二次转载</x:v>
      </x:c>
      <x:c r="J107" t="str">
        <x:v>2025年年末/全年，随指标定义</x:v>
      </x:c>
      <x:c r="K107" t="str">
        <x:v>https://tjgb.hongheiku.com/xjtjgb/xj2020/70172.html</x:v>
      </x:c>
      <x:c r="L107" t="str"/>
    </x:row>
    <x:row r="108" ht="21" customHeight="1">
      <x:c r="A108" t="n">
        <x:v>2025</x:v>
      </x:c>
      <x:c r="B108" t="str">
        <x:v>县级</x:v>
      </x:c>
      <x:c r="C108" t="str">
        <x:v>吉安市</x:v>
      </x:c>
      <x:c r="D108" t="str">
        <x:v>泰和县</x:v>
      </x:c>
      <x:c r="E108" t="str">
        <x:v>人口经济</x:v>
      </x:c>
      <x:c r="F108" t="str">
        <x:v>农村居民人均可支配收入_元</x:v>
      </x:c>
      <x:c r="G108" s="16" t="n">
        <x:v>25300</x:v>
      </x:c>
      <x:c r="H108" t="str">
        <x:v>元</x:v>
      </x:c>
      <x:c r="I108" t="str">
        <x:v>二次转载</x:v>
      </x:c>
      <x:c r="J108" t="str">
        <x:v>2025年年末/全年，随指标定义</x:v>
      </x:c>
      <x:c r="K108" t="str">
        <x:v>https://tjgb.hongheiku.com/xjtjgb/xj2020/70172.html</x:v>
      </x:c>
      <x:c r="L108" t="str"/>
    </x:row>
    <x:row r="109" ht="21" customHeight="1">
      <x:c r="A109" t="n">
        <x:v>2025</x:v>
      </x:c>
      <x:c r="B109" t="str">
        <x:v>县级</x:v>
      </x:c>
      <x:c r="C109" t="str">
        <x:v>宜春市</x:v>
      </x:c>
      <x:c r="D109" t="str">
        <x:v>奉新县</x:v>
      </x:c>
      <x:c r="E109" t="str">
        <x:v>人口经济</x:v>
      </x:c>
      <x:c r="F109" t="str">
        <x:v>常住人口_人</x:v>
      </x:c>
      <x:c r="G109" s="16" t="n">
        <x:v>255823</x:v>
      </x:c>
      <x:c r="H109" t="str">
        <x:v>人</x:v>
      </x:c>
      <x:c r="I109" t="str">
        <x:v>二次转载</x:v>
      </x:c>
      <x:c r="J109" t="str">
        <x:v>2025年年末/全年，随指标定义</x:v>
      </x:c>
      <x:c r="K109" t="str">
        <x:v>https://tjgb.hongheiku.com/xjtjgb/xj2020/79426.html</x:v>
      </x:c>
      <x:c r="L109" t="str">
        <x:v>GDP原报告单位万元，已换算为亿元（2742771万元=274.2771亿元）。</x:v>
      </x:c>
    </x:row>
    <x:row r="110" ht="21" customHeight="1">
      <x:c r="A110" t="n">
        <x:v>2025</x:v>
      </x:c>
      <x:c r="B110" t="str">
        <x:v>县级</x:v>
      </x:c>
      <x:c r="C110" t="str">
        <x:v>宜春市</x:v>
      </x:c>
      <x:c r="D110" t="str">
        <x:v>奉新县</x:v>
      </x:c>
      <x:c r="E110" t="str">
        <x:v>人口经济</x:v>
      </x:c>
      <x:c r="F110" t="str">
        <x:v>城镇常住人口_人</x:v>
      </x:c>
      <x:c r="G110" s="16" t="n">
        <x:v>164095</x:v>
      </x:c>
      <x:c r="H110" t="str">
        <x:v>人</x:v>
      </x:c>
      <x:c r="I110" t="str">
        <x:v>二次转载</x:v>
      </x:c>
      <x:c r="J110" t="str">
        <x:v>2025年年末/全年，随指标定义</x:v>
      </x:c>
      <x:c r="K110" t="str">
        <x:v>https://tjgb.hongheiku.com/xjtjgb/xj2020/79426.html</x:v>
      </x:c>
      <x:c r="L110" t="str">
        <x:v>GDP原报告单位万元，已换算为亿元（2742771万元=274.2771亿元）。</x:v>
      </x:c>
    </x:row>
    <x:row r="111" ht="21" customHeight="1">
      <x:c r="A111" t="n">
        <x:v>2025</x:v>
      </x:c>
      <x:c r="B111" t="str">
        <x:v>县级</x:v>
      </x:c>
      <x:c r="C111" t="str">
        <x:v>宜春市</x:v>
      </x:c>
      <x:c r="D111" t="str">
        <x:v>奉新县</x:v>
      </x:c>
      <x:c r="E111" t="str">
        <x:v>人口经济</x:v>
      </x:c>
      <x:c r="F111" t="str">
        <x:v>60岁及以上人口_人</x:v>
      </x:c>
      <x:c r="G111" s="16" t="n">
        <x:v>58354</x:v>
      </x:c>
      <x:c r="H111" t="str">
        <x:v>人</x:v>
      </x:c>
      <x:c r="I111" t="str">
        <x:v>二次转载</x:v>
      </x:c>
      <x:c r="J111" t="str">
        <x:v>2025年年末/全年，随指标定义</x:v>
      </x:c>
      <x:c r="K111" t="str">
        <x:v>https://tjgb.hongheiku.com/xjtjgb/xj2020/79426.html</x:v>
      </x:c>
      <x:c r="L111" t="str">
        <x:v>GDP原报告单位万元，已换算为亿元（2742771万元=274.2771亿元）。</x:v>
      </x:c>
    </x:row>
    <x:row r="112" ht="21" customHeight="1">
      <x:c r="A112" t="n">
        <x:v>2025</x:v>
      </x:c>
      <x:c r="B112" t="str">
        <x:v>县级</x:v>
      </x:c>
      <x:c r="C112" t="str">
        <x:v>宜春市</x:v>
      </x:c>
      <x:c r="D112" t="str">
        <x:v>奉新县</x:v>
      </x:c>
      <x:c r="E112" t="str">
        <x:v>人口经济</x:v>
      </x:c>
      <x:c r="F112" t="str">
        <x:v>65岁及以上人口_人</x:v>
      </x:c>
      <x:c r="G112" s="16" t="n">
        <x:v>39759</x:v>
      </x:c>
      <x:c r="H112" t="str">
        <x:v>人</x:v>
      </x:c>
      <x:c r="I112" t="str">
        <x:v>二次转载</x:v>
      </x:c>
      <x:c r="J112" t="str">
        <x:v>2025年年末/全年，随指标定义</x:v>
      </x:c>
      <x:c r="K112" t="str">
        <x:v>https://tjgb.hongheiku.com/xjtjgb/xj2020/79426.html</x:v>
      </x:c>
      <x:c r="L112" t="str">
        <x:v>GDP原报告单位万元，已换算为亿元（2742771万元=274.2771亿元）。</x:v>
      </x:c>
    </x:row>
    <x:row r="113" ht="21" customHeight="1">
      <x:c r="A113" t="n">
        <x:v>2025</x:v>
      </x:c>
      <x:c r="B113" t="str">
        <x:v>县级</x:v>
      </x:c>
      <x:c r="C113" t="str">
        <x:v>宜春市</x:v>
      </x:c>
      <x:c r="D113" t="str">
        <x:v>奉新县</x:v>
      </x:c>
      <x:c r="E113" t="str">
        <x:v>人口经济</x:v>
      </x:c>
      <x:c r="F113" t="str">
        <x:v>户籍人口_人</x:v>
      </x:c>
      <x:c r="G113" s="16" t="n">
        <x:v>326894</x:v>
      </x:c>
      <x:c r="H113" t="str">
        <x:v>人</x:v>
      </x:c>
      <x:c r="I113" t="str">
        <x:v>二次转载</x:v>
      </x:c>
      <x:c r="J113" t="str">
        <x:v>2025年年末/全年，随指标定义</x:v>
      </x:c>
      <x:c r="K113" t="str">
        <x:v>https://tjgb.hongheiku.com/xjtjgb/xj2020/79426.html</x:v>
      </x:c>
      <x:c r="L113" t="str">
        <x:v>GDP原报告单位万元，已换算为亿元（2742771万元=274.2771亿元）。</x:v>
      </x:c>
    </x:row>
    <x:row r="114" ht="21" customHeight="1">
      <x:c r="A114" t="n">
        <x:v>2025</x:v>
      </x:c>
      <x:c r="B114" t="str">
        <x:v>县级</x:v>
      </x:c>
      <x:c r="C114" t="str">
        <x:v>宜春市</x:v>
      </x:c>
      <x:c r="D114" t="str">
        <x:v>奉新县</x:v>
      </x:c>
      <x:c r="E114" t="str">
        <x:v>人口经济</x:v>
      </x:c>
      <x:c r="F114" t="str">
        <x:v>GDP_亿元</x:v>
      </x:c>
      <x:c r="G114" s="16" t="n">
        <x:v>274.2771</x:v>
      </x:c>
      <x:c r="H114" t="str">
        <x:v>亿元</x:v>
      </x:c>
      <x:c r="I114" t="str">
        <x:v>二次转载</x:v>
      </x:c>
      <x:c r="J114" t="str">
        <x:v>2025年年末/全年，随指标定义</x:v>
      </x:c>
      <x:c r="K114" t="str">
        <x:v>https://tjgb.hongheiku.com/xjtjgb/xj2020/79426.html</x:v>
      </x:c>
      <x:c r="L114" t="str">
        <x:v>GDP原报告单位万元，已换算为亿元（2742771万元=274.2771亿元）。</x:v>
      </x:c>
    </x:row>
    <x:row r="115" ht="21" customHeight="1">
      <x:c r="A115" t="n">
        <x:v>2025</x:v>
      </x:c>
      <x:c r="B115" t="str">
        <x:v>县级</x:v>
      </x:c>
      <x:c r="C115" t="str">
        <x:v>上饶市</x:v>
      </x:c>
      <x:c r="D115" t="str">
        <x:v>玉山县</x:v>
      </x:c>
      <x:c r="E115" t="str">
        <x:v>人口经济</x:v>
      </x:c>
      <x:c r="F115" t="str">
        <x:v>常住人口_人</x:v>
      </x:c>
      <x:c r="G115" s="16" t="n">
        <x:v>494100</x:v>
      </x:c>
      <x:c r="H115" t="str">
        <x:v>人</x:v>
      </x:c>
      <x:c r="I115" t="str">
        <x:v>二次转载</x:v>
      </x:c>
      <x:c r="J115" t="str">
        <x:v>2025年年末/全年，随指标定义</x:v>
      </x:c>
      <x:c r="K115" t="str">
        <x:v>https://www.hongheiku.com/xianjirank/jxsgxsq/11328.html</x:v>
      </x:c>
      <x:c r="L115" t="str"/>
    </x:row>
    <x:row r="116" ht="21" customHeight="1">
      <x:c r="A116" t="n">
        <x:v>2025</x:v>
      </x:c>
      <x:c r="B116" t="str">
        <x:v>县级</x:v>
      </x:c>
      <x:c r="C116" t="str">
        <x:v>上饶市</x:v>
      </x:c>
      <x:c r="D116" t="str">
        <x:v>玉山县</x:v>
      </x:c>
      <x:c r="E116" t="str">
        <x:v>人口经济</x:v>
      </x:c>
      <x:c r="F116" t="str">
        <x:v>城镇常住人口_人</x:v>
      </x:c>
      <x:c r="G116" s="16" t="n">
        <x:v>312100</x:v>
      </x:c>
      <x:c r="H116" t="str">
        <x:v>人</x:v>
      </x:c>
      <x:c r="I116" t="str">
        <x:v>二次转载</x:v>
      </x:c>
      <x:c r="J116" t="str">
        <x:v>2025年年末/全年，随指标定义</x:v>
      </x:c>
      <x:c r="K116" t="str">
        <x:v>https://www.hongheiku.com/xianjirank/jxsgxsq/11328.html</x:v>
      </x:c>
      <x:c r="L116" t="str"/>
    </x:row>
    <x:row r="117" ht="21" customHeight="1">
      <x:c r="A117" t="n">
        <x:v>2025</x:v>
      </x:c>
      <x:c r="B117" t="str">
        <x:v>县级</x:v>
      </x:c>
      <x:c r="C117" t="str">
        <x:v>上饶市</x:v>
      </x:c>
      <x:c r="D117" t="str">
        <x:v>玉山县</x:v>
      </x:c>
      <x:c r="E117" t="str">
        <x:v>人口经济</x:v>
      </x:c>
      <x:c r="F117" t="str">
        <x:v>60岁及以上人口_人</x:v>
      </x:c>
      <x:c r="G117" s="16" t="n">
        <x:v>122600</x:v>
      </x:c>
      <x:c r="H117" t="str">
        <x:v>人</x:v>
      </x:c>
      <x:c r="I117" t="str">
        <x:v>二次转载</x:v>
      </x:c>
      <x:c r="J117" t="str">
        <x:v>2025年年末/全年，随指标定义</x:v>
      </x:c>
      <x:c r="K117" t="str">
        <x:v>https://www.hongheiku.com/xianjirank/jxsgxsq/11328.html</x:v>
      </x:c>
      <x:c r="L117" t="str"/>
    </x:row>
    <x:row r="118" ht="21" customHeight="1">
      <x:c r="A118" t="n">
        <x:v>2025</x:v>
      </x:c>
      <x:c r="B118" t="str">
        <x:v>县级</x:v>
      </x:c>
      <x:c r="C118" t="str">
        <x:v>上饶市</x:v>
      </x:c>
      <x:c r="D118" t="str">
        <x:v>玉山县</x:v>
      </x:c>
      <x:c r="E118" t="str">
        <x:v>人口经济</x:v>
      </x:c>
      <x:c r="F118" t="str">
        <x:v>65岁及以上人口_人</x:v>
      </x:c>
      <x:c r="G118" s="16" t="n">
        <x:v>86400</x:v>
      </x:c>
      <x:c r="H118" t="str">
        <x:v>人</x:v>
      </x:c>
      <x:c r="I118" t="str">
        <x:v>二次转载</x:v>
      </x:c>
      <x:c r="J118" t="str">
        <x:v>2025年年末/全年，随指标定义</x:v>
      </x:c>
      <x:c r="K118" t="str">
        <x:v>https://www.hongheiku.com/xianjirank/jxsgxsq/11328.html</x:v>
      </x:c>
      <x:c r="L118" t="str"/>
    </x:row>
    <x:row r="119" ht="21" customHeight="1">
      <x:c r="A119" t="n">
        <x:v>2025</x:v>
      </x:c>
      <x:c r="B119" t="str">
        <x:v>县级</x:v>
      </x:c>
      <x:c r="C119" t="str">
        <x:v>上饶市</x:v>
      </x:c>
      <x:c r="D119" t="str">
        <x:v>玉山县</x:v>
      </x:c>
      <x:c r="E119" t="str">
        <x:v>人口经济</x:v>
      </x:c>
      <x:c r="F119" t="str">
        <x:v>GDP_亿元</x:v>
      </x:c>
      <x:c r="G119" s="16" t="n">
        <x:v>335.95</x:v>
      </x:c>
      <x:c r="H119" t="str">
        <x:v>亿元</x:v>
      </x:c>
      <x:c r="I119" t="str">
        <x:v>二次转载</x:v>
      </x:c>
      <x:c r="J119" t="str">
        <x:v>2025年年末/全年，随指标定义</x:v>
      </x:c>
      <x:c r="K119" t="str">
        <x:v>https://www.hongheiku.com/xianjirank/jxsgxsq/11328.html</x:v>
      </x:c>
      <x:c r="L119" t="str"/>
    </x:row>
    <x:row r="120" ht="21" customHeight="1">
      <x:c r="A120" t="n">
        <x:v>2025</x:v>
      </x:c>
      <x:c r="B120" t="str">
        <x:v>县级</x:v>
      </x:c>
      <x:c r="C120" t="str">
        <x:v>上饶市</x:v>
      </x:c>
      <x:c r="D120" t="str">
        <x:v>玉山县</x:v>
      </x:c>
      <x:c r="E120" t="str">
        <x:v>人口经济</x:v>
      </x:c>
      <x:c r="F120" t="str">
        <x:v>城镇居民人均可支配收入_元</x:v>
      </x:c>
      <x:c r="G120" s="16" t="n">
        <x:v>47226</x:v>
      </x:c>
      <x:c r="H120" t="str">
        <x:v>元</x:v>
      </x:c>
      <x:c r="I120" t="str">
        <x:v>二次转载</x:v>
      </x:c>
      <x:c r="J120" t="str">
        <x:v>2025年年末/全年，随指标定义</x:v>
      </x:c>
      <x:c r="K120" t="str">
        <x:v>https://www.hongheiku.com/xianjirank/jxsgxsq/11328.html</x:v>
      </x:c>
      <x:c r="L120" t="str"/>
    </x:row>
    <x:row r="121" ht="21" customHeight="1">
      <x:c r="A121" t="n">
        <x:v>2025</x:v>
      </x:c>
      <x:c r="B121" t="str">
        <x:v>县级</x:v>
      </x:c>
      <x:c r="C121" t="str">
        <x:v>上饶市</x:v>
      </x:c>
      <x:c r="D121" t="str">
        <x:v>玉山县</x:v>
      </x:c>
      <x:c r="E121" t="str">
        <x:v>人口经济</x:v>
      </x:c>
      <x:c r="F121" t="str">
        <x:v>农村居民人均可支配收入_元</x:v>
      </x:c>
      <x:c r="G121" s="16" t="n">
        <x:v>25733</x:v>
      </x:c>
      <x:c r="H121" t="str">
        <x:v>元</x:v>
      </x:c>
      <x:c r="I121" t="str">
        <x:v>二次转载</x:v>
      </x:c>
      <x:c r="J121" t="str">
        <x:v>2025年年末/全年，随指标定义</x:v>
      </x:c>
      <x:c r="K121" t="str">
        <x:v>https://www.hongheiku.com/xianjirank/jxsgxsq/11328.html</x:v>
      </x:c>
      <x:c r="L121" t="str"/>
    </x:row>
    <x:row r="122" ht="21" customHeight="1">
      <x:c r="A122" t="n">
        <x:v>2025</x:v>
      </x:c>
      <x:c r="B122" t="str">
        <x:v>县级</x:v>
      </x:c>
      <x:c r="C122" t="str">
        <x:v>上饶市</x:v>
      </x:c>
      <x:c r="D122" t="str">
        <x:v>婺源县</x:v>
      </x:c>
      <x:c r="E122" t="str">
        <x:v>人口经济</x:v>
      </x:c>
      <x:c r="F122" t="str">
        <x:v>常住人口_人</x:v>
      </x:c>
      <x:c r="G122" s="16" t="n">
        <x:v>301700</x:v>
      </x:c>
      <x:c r="H122" t="str">
        <x:v>人</x:v>
      </x:c>
      <x:c r="I122" t="str">
        <x:v>二次转载</x:v>
      </x:c>
      <x:c r="J122" t="str">
        <x:v>2025年年末/全年，随指标定义</x:v>
      </x:c>
      <x:c r="K122" t="str">
        <x:v>https://tjgb.hongheiku.com/xjtjgb/xj2020/73815.html</x:v>
      </x:c>
      <x:c r="L122" t="str">
        <x:v>城镇职工养老参保7.83万人不严格等同企业职工参保；字段暂记为城镇职工代理口径，慎比较。</x:v>
      </x:c>
    </x:row>
    <x:row r="123" ht="21" customHeight="1">
      <x:c r="A123" t="n">
        <x:v>2025</x:v>
      </x:c>
      <x:c r="B123" t="str">
        <x:v>县级</x:v>
      </x:c>
      <x:c r="C123" t="str">
        <x:v>上饶市</x:v>
      </x:c>
      <x:c r="D123" t="str">
        <x:v>婺源县</x:v>
      </x:c>
      <x:c r="E123" t="str">
        <x:v>人口经济</x:v>
      </x:c>
      <x:c r="F123" t="str">
        <x:v>城镇常住人口_人</x:v>
      </x:c>
      <x:c r="G123" s="16" t="n">
        <x:v>169700</x:v>
      </x:c>
      <x:c r="H123" t="str">
        <x:v>人</x:v>
      </x:c>
      <x:c r="I123" t="str">
        <x:v>二次转载</x:v>
      </x:c>
      <x:c r="J123" t="str">
        <x:v>2025年年末/全年，随指标定义</x:v>
      </x:c>
      <x:c r="K123" t="str">
        <x:v>https://tjgb.hongheiku.com/xjtjgb/xj2020/73815.html</x:v>
      </x:c>
      <x:c r="L123" t="str">
        <x:v>城镇职工养老参保7.83万人不严格等同企业职工参保；字段暂记为城镇职工代理口径，慎比较。</x:v>
      </x:c>
    </x:row>
    <x:row r="124" ht="21" customHeight="1">
      <x:c r="A124" t="n">
        <x:v>2025</x:v>
      </x:c>
      <x:c r="B124" t="str">
        <x:v>县级</x:v>
      </x:c>
      <x:c r="C124" t="str">
        <x:v>上饶市</x:v>
      </x:c>
      <x:c r="D124" t="str">
        <x:v>婺源县</x:v>
      </x:c>
      <x:c r="E124" t="str">
        <x:v>养老保险</x:v>
      </x:c>
      <x:c r="F124" t="str">
        <x:v>企业职工养老参保_人</x:v>
      </x:c>
      <x:c r="G124" s="16" t="n">
        <x:v>78300</x:v>
      </x:c>
      <x:c r="H124" t="str">
        <x:v>人</x:v>
      </x:c>
      <x:c r="I124" t="str">
        <x:v>二次转载</x:v>
      </x:c>
      <x:c r="J124" t="str">
        <x:v>2025年年末/全年，随指标定义</x:v>
      </x:c>
      <x:c r="K124" t="str">
        <x:v>https://tjgb.hongheiku.com/xjtjgb/xj2020/73815.html</x:v>
      </x:c>
      <x:c r="L124" t="str">
        <x:v>城镇职工养老参保7.83万人不严格等同企业职工参保；字段暂记为城镇职工代理口径，慎比较。</x:v>
      </x:c>
    </x:row>
    <x:row r="125" ht="21" customHeight="1">
      <x:c r="A125" t="n">
        <x:v>2025</x:v>
      </x:c>
      <x:c r="B125" t="str">
        <x:v>县级</x:v>
      </x:c>
      <x:c r="C125" t="str">
        <x:v>上饶市</x:v>
      </x:c>
      <x:c r="D125" t="str">
        <x:v>婺源县</x:v>
      </x:c>
      <x:c r="E125" t="str">
        <x:v>养老保险</x:v>
      </x:c>
      <x:c r="F125" t="str">
        <x:v>城乡居民养老参保_人</x:v>
      </x:c>
      <x:c r="G125" s="16" t="n">
        <x:v>190400</x:v>
      </x:c>
      <x:c r="H125" t="str">
        <x:v>人</x:v>
      </x:c>
      <x:c r="I125" t="str">
        <x:v>二次转载</x:v>
      </x:c>
      <x:c r="J125" t="str">
        <x:v>2025年年末/全年，随指标定义</x:v>
      </x:c>
      <x:c r="K125" t="str">
        <x:v>https://tjgb.hongheiku.com/xjtjgb/xj2020/73815.html</x:v>
      </x:c>
      <x:c r="L125" t="str">
        <x:v>城镇职工养老参保7.83万人不严格等同企业职工参保；字段暂记为城镇职工代理口径，慎比较。</x:v>
      </x:c>
    </x:row>
    <x:row r="126" ht="21" customHeight="1">
      <x:c r="A126" t="n">
        <x:v>2025</x:v>
      </x:c>
      <x:c r="B126" t="str">
        <x:v>县级</x:v>
      </x:c>
      <x:c r="C126" t="str">
        <x:v>上饶市</x:v>
      </x:c>
      <x:c r="D126" t="str">
        <x:v>婺源县</x:v>
      </x:c>
      <x:c r="E126" t="str">
        <x:v>就业</x:v>
      </x:c>
      <x:c r="F126" t="str">
        <x:v>城镇新增就业_人</x:v>
      </x:c>
      <x:c r="G126" s="16" t="n">
        <x:v>4490</x:v>
      </x:c>
      <x:c r="H126" t="str">
        <x:v>人</x:v>
      </x:c>
      <x:c r="I126" t="str">
        <x:v>二次转载</x:v>
      </x:c>
      <x:c r="J126" t="str">
        <x:v>2025年年末/全年，随指标定义</x:v>
      </x:c>
      <x:c r="K126" t="str">
        <x:v>https://tjgb.hongheiku.com/xjtjgb/xj2020/73815.html</x:v>
      </x:c>
      <x:c r="L126" t="str">
        <x:v>城镇职工养老参保7.83万人不严格等同企业职工参保；字段暂记为城镇职工代理口径，慎比较。</x:v>
      </x:c>
    </x:row>
    <x:row r="127" ht="21" customHeight="1">
      <x:c r="A127" t="n">
        <x:v>2025</x:v>
      </x:c>
      <x:c r="B127" t="str">
        <x:v>县级</x:v>
      </x:c>
      <x:c r="C127" t="str">
        <x:v>上饶市</x:v>
      </x:c>
      <x:c r="D127" t="str">
        <x:v>婺源县</x:v>
      </x:c>
      <x:c r="E127" t="str">
        <x:v>人口经济</x:v>
      </x:c>
      <x:c r="F127" t="str">
        <x:v>城镇居民人均可支配收入_元</x:v>
      </x:c>
      <x:c r="G127" s="16" t="n">
        <x:v>39149</x:v>
      </x:c>
      <x:c r="H127" t="str">
        <x:v>元</x:v>
      </x:c>
      <x:c r="I127" t="str">
        <x:v>二次转载</x:v>
      </x:c>
      <x:c r="J127" t="str">
        <x:v>2025年年末/全年，随指标定义</x:v>
      </x:c>
      <x:c r="K127" t="str">
        <x:v>https://tjgb.hongheiku.com/xjtjgb/xj2020/73815.html</x:v>
      </x:c>
      <x:c r="L127" t="str">
        <x:v>城镇职工养老参保7.83万人不严格等同企业职工参保；字段暂记为城镇职工代理口径，慎比较。</x:v>
      </x:c>
    </x:row>
    <x:row r="128" ht="21" customHeight="1">
      <x:c r="A128" t="n">
        <x:v>2025</x:v>
      </x:c>
      <x:c r="B128" t="str">
        <x:v>县级</x:v>
      </x:c>
      <x:c r="C128" t="str">
        <x:v>上饶市</x:v>
      </x:c>
      <x:c r="D128" t="str">
        <x:v>婺源县</x:v>
      </x:c>
      <x:c r="E128" t="str">
        <x:v>人口经济</x:v>
      </x:c>
      <x:c r="F128" t="str">
        <x:v>农村居民人均可支配收入_元</x:v>
      </x:c>
      <x:c r="G128" s="16" t="n">
        <x:v>23398</x:v>
      </x:c>
      <x:c r="H128" t="str">
        <x:v>元</x:v>
      </x:c>
      <x:c r="I128" t="str">
        <x:v>二次转载</x:v>
      </x:c>
      <x:c r="J128" t="str">
        <x:v>2025年年末/全年，随指标定义</x:v>
      </x:c>
      <x:c r="K128" t="str">
        <x:v>https://tjgb.hongheiku.com/xjtjgb/xj2020/73815.html</x:v>
      </x:c>
      <x:c r="L128" t="str">
        <x:v>城镇职工养老参保7.83万人不严格等同企业职工参保；字段暂记为城镇职工代理口径，慎比较。</x:v>
      </x:c>
    </x:row>
    <x:row r="129" ht="21" customHeight="1">
      <x:c r="A129" t="n">
        <x:v>2025</x:v>
      </x:c>
      <x:c r="B129" t="str">
        <x:v>县级</x:v>
      </x:c>
      <x:c r="C129" t="str">
        <x:v>赣州市</x:v>
      </x:c>
      <x:c r="D129" t="str">
        <x:v>安远县</x:v>
      </x:c>
      <x:c r="E129" t="str">
        <x:v>养老基金预算执行</x:v>
      </x:c>
      <x:c r="F129" t="str">
        <x:v>城乡居民基本养老保险基金支出_万元</x:v>
      </x:c>
      <x:c r="G129" s="16" t="n">
        <x:v>14718</x:v>
      </x:c>
      <x:c r="H129" t="str">
        <x:v>万元</x:v>
      </x:c>
      <x:c r="I129" t="str">
        <x:v>政府官网</x:v>
      </x:c>
      <x:c r="J129" t="str">
        <x:v>年度预算执行，非待遇发放</x:v>
      </x:c>
      <x:c r="K129" t="str">
        <x:v>https://www.ay.gov.cn/ayxxxgk/czyjskr/202603/76094f623db3446c9c65be0bb1225bd7.shtml</x:v>
      </x:c>
      <x:c r="L129" t="str">
        <x:v>不可与统计公报养老金实际发放额直接混用</x:v>
      </x:c>
    </x:row>
    <x:row r="130" ht="21" customHeight="1">
      <x:c r="A130" t="n">
        <x:v>2025</x:v>
      </x:c>
      <x:c r="B130" t="str">
        <x:v>县级</x:v>
      </x:c>
      <x:c r="C130" t="str">
        <x:v>赣州市</x:v>
      </x:c>
      <x:c r="D130" t="str">
        <x:v>安远县</x:v>
      </x:c>
      <x:c r="E130" t="str">
        <x:v>养老基金预算执行</x:v>
      </x:c>
      <x:c r="F130" t="str">
        <x:v>机关事业基本养老保险基金支出_万元</x:v>
      </x:c>
      <x:c r="G130" s="16" t="n">
        <x:v>21070</x:v>
      </x:c>
      <x:c r="H130" t="str">
        <x:v>万元</x:v>
      </x:c>
      <x:c r="I130" t="str">
        <x:v>政府官网</x:v>
      </x:c>
      <x:c r="J130" t="str">
        <x:v>年度预算执行，非待遇发放</x:v>
      </x:c>
      <x:c r="K130" t="str">
        <x:v>https://www.ay.gov.cn/ayxxxgk/czyjskr/202603/76094f623db3446c9c65be0bb1225bd7.shtml</x:v>
      </x:c>
      <x:c r="L130" t="str">
        <x:v>不可与统计公报养老金实际发放额直接混用</x:v>
      </x:c>
    </x:row>
    <x:row r="131" ht="21" customHeight="1">
      <x:c r="A131" t="n">
        <x:v>2025</x:v>
      </x:c>
      <x:c r="B131" t="str">
        <x:v>县级</x:v>
      </x:c>
      <x:c r="C131" t="str">
        <x:v>九江市</x:v>
      </x:c>
      <x:c r="D131" t="str">
        <x:v>湖口县</x:v>
      </x:c>
      <x:c r="E131" t="str">
        <x:v>养老基金预算执行</x:v>
      </x:c>
      <x:c r="F131" t="str">
        <x:v>城乡居民基本养老保险基金支出_万元</x:v>
      </x:c>
      <x:c r="G131" s="16" t="n">
        <x:v>12646</x:v>
      </x:c>
      <x:c r="H131" t="str">
        <x:v>万元</x:v>
      </x:c>
      <x:c r="I131" t="str">
        <x:v>政府官网</x:v>
      </x:c>
      <x:c r="J131" t="str">
        <x:v>年度预算执行，非待遇发放</x:v>
      </x:c>
      <x:c r="K131" t="str">
        <x:v>https://www.hukou.gov.cn/czj/fdzdgknr/czxx/xbjczyjs/202602/t20260213_7166077.html</x:v>
      </x:c>
      <x:c r="L131" t="str">
        <x:v>不可与统计公报养老金实际发放额直接混用</x:v>
      </x:c>
    </x:row>
    <x:row r="132" ht="21" customHeight="1">
      <x:c r="A132" t="n">
        <x:v>2025</x:v>
      </x:c>
      <x:c r="B132" t="str">
        <x:v>县级</x:v>
      </x:c>
      <x:c r="C132" t="str">
        <x:v>九江市</x:v>
      </x:c>
      <x:c r="D132" t="str">
        <x:v>湖口县</x:v>
      </x:c>
      <x:c r="E132" t="str">
        <x:v>养老基金预算执行</x:v>
      </x:c>
      <x:c r="F132" t="str">
        <x:v>机关事业基本养老保险基金支出_万元</x:v>
      </x:c>
      <x:c r="G132" s="16" t="n">
        <x:v>24488</x:v>
      </x:c>
      <x:c r="H132" t="str">
        <x:v>万元</x:v>
      </x:c>
      <x:c r="I132" t="str">
        <x:v>政府官网</x:v>
      </x:c>
      <x:c r="J132" t="str">
        <x:v>年度预算执行，非待遇发放</x:v>
      </x:c>
      <x:c r="K132" t="str">
        <x:v>https://www.hukou.gov.cn/czj/fdzdgknr/czxx/xbjczyjs/202602/t20260213_7166077.html</x:v>
      </x:c>
      <x:c r="L132" t="str">
        <x:v>不可与统计公报养老金实际发放额直接混用</x:v>
      </x:c>
    </x:row>
    <x:row r="133" ht="21" customHeight="1">
      <x:c r="A133" t="n">
        <x:v>2025</x:v>
      </x:c>
      <x:c r="B133" t="str">
        <x:v>省级</x:v>
      </x:c>
      <x:c r="C133" t="str">
        <x:v>江西省</x:v>
      </x:c>
      <x:c r="D133" t="str">
        <x:v>江西省</x:v>
      </x:c>
      <x:c r="E133" t="str">
        <x:v>宏观或公积金</x:v>
      </x:c>
      <x:c r="F133" t="str">
        <x:v>常住人口</x:v>
      </x:c>
      <x:c r="G133" s="16" t="n">
        <x:v>44740000</x:v>
      </x:c>
      <x:c r="H133" t="str">
        <x:v>人</x:v>
      </x:c>
      <x:c r="I133" t="str">
        <x:v>省公报/省年度报告</x:v>
      </x:c>
      <x:c r="J133" t="str">
        <x:v>2025年末</x:v>
      </x:c>
      <x:c r="K133" t="str">
        <x:v>https://finance.sina.com.cn/wm/2026-03-27/doc-inhskwcv9590288.shtml</x:v>
      </x:c>
      <x:c r="L133" t="str">
        <x:v>约4474万人；保留官方报告的万人换算精度</x:v>
      </x:c>
    </x:row>
    <x:row r="134" ht="21" customHeight="1">
      <x:c r="A134" t="n">
        <x:v>2025</x:v>
      </x:c>
      <x:c r="B134" t="str">
        <x:v>省级</x:v>
      </x:c>
      <x:c r="C134" t="str">
        <x:v>江西省</x:v>
      </x:c>
      <x:c r="D134" t="str">
        <x:v>江西省</x:v>
      </x:c>
      <x:c r="E134" t="str">
        <x:v>宏观或公积金</x:v>
      </x:c>
      <x:c r="F134" t="str">
        <x:v>城镇常住人口</x:v>
      </x:c>
      <x:c r="G134" s="16" t="n">
        <x:v>28990000</x:v>
      </x:c>
      <x:c r="H134" t="str">
        <x:v>人</x:v>
      </x:c>
      <x:c r="I134" t="str">
        <x:v>省公报/省年度报告</x:v>
      </x:c>
      <x:c r="J134" t="str">
        <x:v>2025年末</x:v>
      </x:c>
      <x:c r="K134" t="str">
        <x:v>https://finance.sina.com.cn/wm/2026-03-27/doc-inhskwcv9590288.shtml</x:v>
      </x:c>
      <x:c r="L134" t="str">
        <x:v>约2899万人</x:v>
      </x:c>
    </x:row>
    <x:row r="135" ht="21" customHeight="1">
      <x:c r="A135" t="n">
        <x:v>2025</x:v>
      </x:c>
      <x:c r="B135" t="str">
        <x:v>省级</x:v>
      </x:c>
      <x:c r="C135" t="str">
        <x:v>江西省</x:v>
      </x:c>
      <x:c r="D135" t="str">
        <x:v>江西省</x:v>
      </x:c>
      <x:c r="E135" t="str">
        <x:v>宏观或公积金</x:v>
      </x:c>
      <x:c r="F135" t="str">
        <x:v>GDP</x:v>
      </x:c>
      <x:c r="G135" s="16" t="n">
        <x:v>36020</x:v>
      </x:c>
      <x:c r="H135" t="str">
        <x:v>亿元</x:v>
      </x:c>
      <x:c r="I135" t="str">
        <x:v>省公报/省年度报告</x:v>
      </x:c>
      <x:c r="J135" t="str">
        <x:v>2025年</x:v>
      </x:c>
      <x:c r="K135" t="str">
        <x:v>https://finance.sina.com.cn/wm/2026-03-27/doc-inhskwcv9590288.shtml</x:v>
      </x:c>
      <x:c r="L135" t="str"/>
    </x:row>
    <x:row r="136" ht="21" customHeight="1">
      <x:c r="A136" t="n">
        <x:v>2025</x:v>
      </x:c>
      <x:c r="B136" t="str">
        <x:v>省级</x:v>
      </x:c>
      <x:c r="C136" t="str">
        <x:v>江西省</x:v>
      </x:c>
      <x:c r="D136" t="str">
        <x:v>江西省</x:v>
      </x:c>
      <x:c r="E136" t="str">
        <x:v>宏观或公积金</x:v>
      </x:c>
      <x:c r="F136" t="str">
        <x:v>城镇新增就业</x:v>
      </x:c>
      <x:c r="G136" s="16" t="n">
        <x:v>485000</x:v>
      </x:c>
      <x:c r="H136" t="str">
        <x:v>人</x:v>
      </x:c>
      <x:c r="I136" t="str">
        <x:v>省公报/省年度报告</x:v>
      </x:c>
      <x:c r="J136" t="str">
        <x:v>2025年全年</x:v>
      </x:c>
      <x:c r="K136" t="str">
        <x:v>https://finance.sina.com.cn/wm/2026-03-27/doc-inhskwcv9590288.shtml</x:v>
      </x:c>
      <x:c r="L136" t="str">
        <x:v>48.5万人</x:v>
      </x:c>
    </x:row>
    <x:row r="137" ht="21" customHeight="1">
      <x:c r="A137" t="n">
        <x:v>2025</x:v>
      </x:c>
      <x:c r="B137" t="str">
        <x:v>省级</x:v>
      </x:c>
      <x:c r="C137" t="str">
        <x:v>江西省</x:v>
      </x:c>
      <x:c r="D137" t="str">
        <x:v>江西省</x:v>
      </x:c>
      <x:c r="E137" t="str">
        <x:v>宏观或公积金</x:v>
      </x:c>
      <x:c r="F137" t="str">
        <x:v>失业人员再就业</x:v>
      </x:c>
      <x:c r="G137" s="16" t="n">
        <x:v>179000</x:v>
      </x:c>
      <x:c r="H137" t="str">
        <x:v>人</x:v>
      </x:c>
      <x:c r="I137" t="str">
        <x:v>省公报/省年度报告</x:v>
      </x:c>
      <x:c r="J137" t="str">
        <x:v>2025年全年</x:v>
      </x:c>
      <x:c r="K137" t="str">
        <x:v>https://finance.sina.com.cn/wm/2026-03-27/doc-inhskwcv9590288.shtml</x:v>
      </x:c>
      <x:c r="L137" t="str">
        <x:v>17.9万人</x:v>
      </x:c>
    </x:row>
    <x:row r="138" ht="21" customHeight="1">
      <x:c r="A138" t="n">
        <x:v>2025</x:v>
      </x:c>
      <x:c r="B138" t="str">
        <x:v>省级</x:v>
      </x:c>
      <x:c r="C138" t="str">
        <x:v>江西省</x:v>
      </x:c>
      <x:c r="D138" t="str">
        <x:v>江西省</x:v>
      </x:c>
      <x:c r="E138" t="str">
        <x:v>宏观或公积金</x:v>
      </x:c>
      <x:c r="F138" t="str">
        <x:v>就业困难人员就业</x:v>
      </x:c>
      <x:c r="G138" s="16" t="n">
        <x:v>66000</x:v>
      </x:c>
      <x:c r="H138" t="str">
        <x:v>人</x:v>
      </x:c>
      <x:c r="I138" t="str">
        <x:v>省公报/省年度报告</x:v>
      </x:c>
      <x:c r="J138" t="str">
        <x:v>2025年全年</x:v>
      </x:c>
      <x:c r="K138" t="str">
        <x:v>https://finance.sina.com.cn/wm/2026-03-27/doc-inhskwcv9590288.shtml</x:v>
      </x:c>
      <x:c r="L138" t="str">
        <x:v>6.6万人</x:v>
      </x:c>
    </x:row>
    <x:row r="139" ht="21" customHeight="1">
      <x:c r="A139" t="n">
        <x:v>2025</x:v>
      </x:c>
      <x:c r="B139" t="str">
        <x:v>省级</x:v>
      </x:c>
      <x:c r="C139" t="str">
        <x:v>江西省</x:v>
      </x:c>
      <x:c r="D139" t="str">
        <x:v>江西省</x:v>
      </x:c>
      <x:c r="E139" t="str">
        <x:v>宏观或公积金</x:v>
      </x:c>
      <x:c r="F139" t="str">
        <x:v>城镇职工基本养老保险参保</x:v>
      </x:c>
      <x:c r="G139" s="16" t="n">
        <x:v>15178000</x:v>
      </x:c>
      <x:c r="H139" t="str">
        <x:v>人</x:v>
      </x:c>
      <x:c r="I139" t="str">
        <x:v>省公报/省年度报告</x:v>
      </x:c>
      <x:c r="J139" t="str">
        <x:v>2025年末</x:v>
      </x:c>
      <x:c r="K139" t="str">
        <x:v>https://finance.sina.com.cn/wm/2026-03-27/doc-inhskwcv9590288.shtml</x:v>
      </x:c>
      <x:c r="L139" t="str">
        <x:v>参保人数而非退休待遇领取人数</x:v>
      </x:c>
    </x:row>
    <x:row r="140" ht="21" customHeight="1">
      <x:c r="A140" t="n">
        <x:v>2025</x:v>
      </x:c>
      <x:c r="B140" t="str">
        <x:v>省级</x:v>
      </x:c>
      <x:c r="C140" t="str">
        <x:v>江西省</x:v>
      </x:c>
      <x:c r="D140" t="str">
        <x:v>江西省</x:v>
      </x:c>
      <x:c r="E140" t="str">
        <x:v>宏观或公积金</x:v>
      </x:c>
      <x:c r="F140" t="str">
        <x:v>城乡居民基本养老保险参保</x:v>
      </x:c>
      <x:c r="G140" s="16" t="n">
        <x:v>19030000</x:v>
      </x:c>
      <x:c r="H140" t="str">
        <x:v>人</x:v>
      </x:c>
      <x:c r="I140" t="str">
        <x:v>省公报/省年度报告</x:v>
      </x:c>
      <x:c r="J140" t="str">
        <x:v>2025年末</x:v>
      </x:c>
      <x:c r="K140" t="str">
        <x:v>https://finance.sina.com.cn/wm/2026-03-27/doc-inhskwcv9590288.shtml</x:v>
      </x:c>
      <x:c r="L140" t="str">
        <x:v>参保人数而非退休待遇领取人数</x:v>
      </x:c>
    </x:row>
    <x:row r="141" ht="21" customHeight="1">
      <x:c r="A141" t="n">
        <x:v>2025</x:v>
      </x:c>
      <x:c r="B141" t="str">
        <x:v>省级</x:v>
      </x:c>
      <x:c r="C141" t="str">
        <x:v>江西省</x:v>
      </x:c>
      <x:c r="D141" t="str">
        <x:v>江西省</x:v>
      </x:c>
      <x:c r="E141" t="str">
        <x:v>宏观或公积金</x:v>
      </x:c>
      <x:c r="F141" t="str">
        <x:v>公积金实缴人数</x:v>
      </x:c>
      <x:c r="G141" s="16" t="n">
        <x:v>3537700</x:v>
      </x:c>
      <x:c r="H141" t="str">
        <x:v>人</x:v>
      </x:c>
      <x:c r="I141" t="str">
        <x:v>省公报/省年度报告</x:v>
      </x:c>
      <x:c r="J141" t="str">
        <x:v>2025年全年</x:v>
      </x:c>
      <x:c r="K141" t="str">
        <x:v>https://jx.ifeng.com/c/8sk35lBJNwe</x:v>
      </x:c>
      <x:c r="L141" t="str"/>
    </x:row>
    <x:row r="142" ht="21" customHeight="1">
      <x:c r="A142" t="n">
        <x:v>2025</x:v>
      </x:c>
      <x:c r="B142" t="str">
        <x:v>省级</x:v>
      </x:c>
      <x:c r="C142" t="str">
        <x:v>江西省</x:v>
      </x:c>
      <x:c r="D142" t="str">
        <x:v>江西省</x:v>
      </x:c>
      <x:c r="E142" t="str">
        <x:v>宏观或公积金</x:v>
      </x:c>
      <x:c r="F142" t="str">
        <x:v>公积金缴存额</x:v>
      </x:c>
      <x:c r="G142" s="16" t="n">
        <x:v>728.52</x:v>
      </x:c>
      <x:c r="H142" t="str">
        <x:v>亿元</x:v>
      </x:c>
      <x:c r="I142" t="str">
        <x:v>省公报/省年度报告</x:v>
      </x:c>
      <x:c r="J142" t="str">
        <x:v>2025年全年</x:v>
      </x:c>
      <x:c r="K142" t="str">
        <x:v>https://jx.ifeng.com/c/8sk35lBJNwe</x:v>
      </x:c>
      <x:c r="L142" t="str"/>
    </x:row>
    <x:row r="143" ht="21" customHeight="1">
      <x:c r="A143" t="n">
        <x:v>2025</x:v>
      </x:c>
      <x:c r="B143" t="str">
        <x:v>省级</x:v>
      </x:c>
      <x:c r="C143" t="str">
        <x:v>江西省</x:v>
      </x:c>
      <x:c r="D143" t="str">
        <x:v>江西省</x:v>
      </x:c>
      <x:c r="E143" t="str">
        <x:v>宏观或公积金</x:v>
      </x:c>
      <x:c r="F143" t="str">
        <x:v>公积金提取额</x:v>
      </x:c>
      <x:c r="G143" s="16" t="n">
        <x:v>503.42</x:v>
      </x:c>
      <x:c r="H143" t="str">
        <x:v>亿元</x:v>
      </x:c>
      <x:c r="I143" t="str">
        <x:v>省公报/省年度报告</x:v>
      </x:c>
      <x:c r="J143" t="str">
        <x:v>2025年全年</x:v>
      </x:c>
      <x:c r="K143" t="str">
        <x:v>https://jx.ifeng.com/c/8sk35lBJNwe</x:v>
      </x:c>
      <x:c r="L143" t="str"/>
    </x:row>
    <x:row r="144" ht="21" customHeight="1">
      <x:c r="A144" t="n">
        <x:v>2025</x:v>
      </x:c>
      <x:c r="B144" t="str">
        <x:v>省级</x:v>
      </x:c>
      <x:c r="C144" t="str">
        <x:v>江西省</x:v>
      </x:c>
      <x:c r="D144" t="str">
        <x:v>江西省</x:v>
      </x:c>
      <x:c r="E144" t="str">
        <x:v>宏观或公积金</x:v>
      </x:c>
      <x:c r="F144" t="str">
        <x:v>公积金个人住房贷款发放</x:v>
      </x:c>
      <x:c r="G144" s="16" t="n">
        <x:v>282.16</x:v>
      </x:c>
      <x:c r="H144" t="str">
        <x:v>亿元</x:v>
      </x:c>
      <x:c r="I144" t="str">
        <x:v>省公报/省年度报告</x:v>
      </x:c>
      <x:c r="J144" t="str">
        <x:v>2025年全年</x:v>
      </x:c>
      <x:c r="K144" t="str">
        <x:v>https://jx.ifeng.com/c/8sk35lBJNwe</x:v>
      </x:c>
      <x:c r="L144" t="str"/>
    </x:row>
    <x:row r="145" ht="21" customHeight="1">
      <x:c r="A145" t="n">
        <x:v>2025</x:v>
      </x:c>
      <x:c r="B145" t="str">
        <x:v>地级市</x:v>
      </x:c>
      <x:c r="C145" t="str">
        <x:v>南昌市</x:v>
      </x:c>
      <x:c r="D145" t="str">
        <x:v>南昌市</x:v>
      </x:c>
      <x:c r="E145" t="str">
        <x:v>住房公积金</x:v>
      </x:c>
      <x:c r="F145" t="str">
        <x:v>实缴单位_万家</x:v>
      </x:c>
      <x:c r="G145" s="16" t="n">
        <x:v>2.29</x:v>
      </x:c>
      <x:c r="H145" t="str">
        <x:v>万家</x:v>
      </x:c>
      <x:c r="I145" t="str">
        <x:v>省级年度报告分市表</x:v>
      </x:c>
      <x:c r="J145" t="str">
        <x:v>2025年全年/年末</x:v>
      </x:c>
      <x:c r="K145" t="str">
        <x:v>https://jx.ifeng.com/c/8sk35lBJNwe</x:v>
      </x:c>
      <x:c r="L145" t="str">
        <x:v>地级市口径，不可直接分配给县级行政区</x:v>
      </x:c>
    </x:row>
    <x:row r="146" ht="21" customHeight="1">
      <x:c r="A146" t="n">
        <x:v>2025</x:v>
      </x:c>
      <x:c r="B146" t="str">
        <x:v>地级市</x:v>
      </x:c>
      <x:c r="C146" t="str">
        <x:v>南昌市</x:v>
      </x:c>
      <x:c r="D146" t="str">
        <x:v>南昌市</x:v>
      </x:c>
      <x:c r="E146" t="str">
        <x:v>住房公积金</x:v>
      </x:c>
      <x:c r="F146" t="str">
        <x:v>实缴人数_万人</x:v>
      </x:c>
      <x:c r="G146" s="16" t="n">
        <x:v>102.05</x:v>
      </x:c>
      <x:c r="H146" t="str">
        <x:v>万人</x:v>
      </x:c>
      <x:c r="I146" t="str">
        <x:v>省级年度报告分市表</x:v>
      </x:c>
      <x:c r="J146" t="str">
        <x:v>2025年全年/年末</x:v>
      </x:c>
      <x:c r="K146" t="str">
        <x:v>https://jx.ifeng.com/c/8sk35lBJNwe</x:v>
      </x:c>
      <x:c r="L146" t="str">
        <x:v>地级市口径，不可直接分配给县级行政区</x:v>
      </x:c>
    </x:row>
    <x:row r="147" ht="21" customHeight="1">
      <x:c r="A147" t="n">
        <x:v>2025</x:v>
      </x:c>
      <x:c r="B147" t="str">
        <x:v>地级市</x:v>
      </x:c>
      <x:c r="C147" t="str">
        <x:v>南昌市</x:v>
      </x:c>
      <x:c r="D147" t="str">
        <x:v>南昌市</x:v>
      </x:c>
      <x:c r="E147" t="str">
        <x:v>住房公积金</x:v>
      </x:c>
      <x:c r="F147" t="str">
        <x:v>缴存额_亿元</x:v>
      </x:c>
      <x:c r="G147" s="16" t="n">
        <x:v>240.17</x:v>
      </x:c>
      <x:c r="H147" t="str">
        <x:v>亿元</x:v>
      </x:c>
      <x:c r="I147" t="str">
        <x:v>省级年度报告分市表</x:v>
      </x:c>
      <x:c r="J147" t="str">
        <x:v>2025年全年/年末</x:v>
      </x:c>
      <x:c r="K147" t="str">
        <x:v>https://jx.ifeng.com/c/8sk35lBJNwe</x:v>
      </x:c>
      <x:c r="L147" t="str">
        <x:v>地级市口径，不可直接分配给县级行政区</x:v>
      </x:c>
    </x:row>
    <x:row r="148" ht="21" customHeight="1">
      <x:c r="A148" t="n">
        <x:v>2025</x:v>
      </x:c>
      <x:c r="B148" t="str">
        <x:v>地级市</x:v>
      </x:c>
      <x:c r="C148" t="str">
        <x:v>南昌市</x:v>
      </x:c>
      <x:c r="D148" t="str">
        <x:v>南昌市</x:v>
      </x:c>
      <x:c r="E148" t="str">
        <x:v>住房公积金</x:v>
      </x:c>
      <x:c r="F148" t="str">
        <x:v>提取额_亿元</x:v>
      </x:c>
      <x:c r="G148" s="16" t="n">
        <x:v>168.23</x:v>
      </x:c>
      <x:c r="H148" t="str">
        <x:v>亿元</x:v>
      </x:c>
      <x:c r="I148" t="str">
        <x:v>省级年度报告分市表</x:v>
      </x:c>
      <x:c r="J148" t="str">
        <x:v>2025年全年/年末</x:v>
      </x:c>
      <x:c r="K148" t="str">
        <x:v>https://jx.ifeng.com/c/8sk35lBJNwe</x:v>
      </x:c>
      <x:c r="L148" t="str">
        <x:v>地级市口径，不可直接分配给县级行政区</x:v>
      </x:c>
    </x:row>
    <x:row r="149" ht="21" customHeight="1">
      <x:c r="A149" t="n">
        <x:v>2025</x:v>
      </x:c>
      <x:c r="B149" t="str">
        <x:v>地级市</x:v>
      </x:c>
      <x:c r="C149" t="str">
        <x:v>南昌市</x:v>
      </x:c>
      <x:c r="D149" t="str">
        <x:v>南昌市</x:v>
      </x:c>
      <x:c r="E149" t="str">
        <x:v>住房公积金</x:v>
      </x:c>
      <x:c r="F149" t="str">
        <x:v>提取率_%</x:v>
      </x:c>
      <x:c r="G149" s="16" t="n">
        <x:v>70.05</x:v>
      </x:c>
      <x:c r="H149" t="str">
        <x:v>%</x:v>
      </x:c>
      <x:c r="I149" t="str">
        <x:v>省级年度报告分市表</x:v>
      </x:c>
      <x:c r="J149" t="str">
        <x:v>2025年全年/年末</x:v>
      </x:c>
      <x:c r="K149" t="str">
        <x:v>https://jx.ifeng.com/c/8sk35lBJNwe</x:v>
      </x:c>
      <x:c r="L149" t="str">
        <x:v>地级市口径，不可直接分配给县级行政区</x:v>
      </x:c>
    </x:row>
    <x:row r="150" ht="21" customHeight="1">
      <x:c r="A150" t="n">
        <x:v>2025</x:v>
      </x:c>
      <x:c r="B150" t="str">
        <x:v>地级市</x:v>
      </x:c>
      <x:c r="C150" t="str">
        <x:v>南昌市</x:v>
      </x:c>
      <x:c r="D150" t="str">
        <x:v>南昌市</x:v>
      </x:c>
      <x:c r="E150" t="str">
        <x:v>住房公积金</x:v>
      </x:c>
      <x:c r="F150" t="str">
        <x:v>住房消费提取_亿元</x:v>
      </x:c>
      <x:c r="G150" s="16" t="n">
        <x:v>130.81</x:v>
      </x:c>
      <x:c r="H150" t="str">
        <x:v>亿元</x:v>
      </x:c>
      <x:c r="I150" t="str">
        <x:v>省级年度报告分市表</x:v>
      </x:c>
      <x:c r="J150" t="str">
        <x:v>2025年全年/年末</x:v>
      </x:c>
      <x:c r="K150" t="str">
        <x:v>https://jx.ifeng.com/c/8sk35lBJNwe</x:v>
      </x:c>
      <x:c r="L150" t="str">
        <x:v>地级市口径，不可直接分配给县级行政区</x:v>
      </x:c>
    </x:row>
    <x:row r="151" ht="21" customHeight="1">
      <x:c r="A151" t="n">
        <x:v>2025</x:v>
      </x:c>
      <x:c r="B151" t="str">
        <x:v>地级市</x:v>
      </x:c>
      <x:c r="C151" t="str">
        <x:v>南昌市</x:v>
      </x:c>
      <x:c r="D151" t="str">
        <x:v>南昌市</x:v>
      </x:c>
      <x:c r="E151" t="str">
        <x:v>住房公积金</x:v>
      </x:c>
      <x:c r="F151" t="str">
        <x:v>非住房消费提取_亿元</x:v>
      </x:c>
      <x:c r="G151" s="16" t="n">
        <x:v>37.42</x:v>
      </x:c>
      <x:c r="H151" t="str">
        <x:v>亿元</x:v>
      </x:c>
      <x:c r="I151" t="str">
        <x:v>省级年度报告分市表</x:v>
      </x:c>
      <x:c r="J151" t="str">
        <x:v>2025年全年/年末</x:v>
      </x:c>
      <x:c r="K151" t="str">
        <x:v>https://jx.ifeng.com/c/8sk35lBJNwe</x:v>
      </x:c>
      <x:c r="L151" t="str">
        <x:v>地级市口径，不可直接分配给县级行政区</x:v>
      </x:c>
    </x:row>
    <x:row r="152" ht="21" customHeight="1">
      <x:c r="A152" t="n">
        <x:v>2025</x:v>
      </x:c>
      <x:c r="B152" t="str">
        <x:v>地级市</x:v>
      </x:c>
      <x:c r="C152" t="str">
        <x:v>南昌市</x:v>
      </x:c>
      <x:c r="D152" t="str">
        <x:v>南昌市</x:v>
      </x:c>
      <x:c r="E152" t="str">
        <x:v>住房公积金</x:v>
      </x:c>
      <x:c r="F152" t="str">
        <x:v>个人住房贷款_万笔</x:v>
      </x:c>
      <x:c r="G152" s="16" t="n">
        <x:v>1.53</x:v>
      </x:c>
      <x:c r="H152" t="str">
        <x:v>万笔</x:v>
      </x:c>
      <x:c r="I152" t="str">
        <x:v>省级年度报告分市表</x:v>
      </x:c>
      <x:c r="J152" t="str">
        <x:v>2025年全年/年末</x:v>
      </x:c>
      <x:c r="K152" t="str">
        <x:v>https://jx.ifeng.com/c/8sk35lBJNwe</x:v>
      </x:c>
      <x:c r="L152" t="str">
        <x:v>地级市口径，不可直接分配给县级行政区</x:v>
      </x:c>
    </x:row>
    <x:row r="153" ht="21" customHeight="1">
      <x:c r="A153" t="n">
        <x:v>2025</x:v>
      </x:c>
      <x:c r="B153" t="str">
        <x:v>地级市</x:v>
      </x:c>
      <x:c r="C153" t="str">
        <x:v>南昌市</x:v>
      </x:c>
      <x:c r="D153" t="str">
        <x:v>南昌市</x:v>
      </x:c>
      <x:c r="E153" t="str">
        <x:v>住房公积金</x:v>
      </x:c>
      <x:c r="F153" t="str">
        <x:v>发放贷款_亿元</x:v>
      </x:c>
      <x:c r="G153" s="16" t="n">
        <x:v>99.4</x:v>
      </x:c>
      <x:c r="H153" t="str">
        <x:v>亿元</x:v>
      </x:c>
      <x:c r="I153" t="str">
        <x:v>省级年度报告分市表</x:v>
      </x:c>
      <x:c r="J153" t="str">
        <x:v>2025年全年/年末</x:v>
      </x:c>
      <x:c r="K153" t="str">
        <x:v>https://jx.ifeng.com/c/8sk35lBJNwe</x:v>
      </x:c>
      <x:c r="L153" t="str">
        <x:v>地级市口径，不可直接分配给县级行政区</x:v>
      </x:c>
    </x:row>
    <x:row r="154" ht="21" customHeight="1">
      <x:c r="A154" t="n">
        <x:v>2025</x:v>
      </x:c>
      <x:c r="B154" t="str">
        <x:v>地级市</x:v>
      </x:c>
      <x:c r="C154" t="str">
        <x:v>南昌市</x:v>
      </x:c>
      <x:c r="D154" t="str">
        <x:v>南昌市</x:v>
      </x:c>
      <x:c r="E154" t="str">
        <x:v>住房公积金</x:v>
      </x:c>
      <x:c r="F154" t="str">
        <x:v>贷款余额_亿元</x:v>
      </x:c>
      <x:c r="G154" s="16" t="n">
        <x:v>545.7</x:v>
      </x:c>
      <x:c r="H154" t="str">
        <x:v>亿元</x:v>
      </x:c>
      <x:c r="I154" t="str">
        <x:v>省级年度报告分市表</x:v>
      </x:c>
      <x:c r="J154" t="str">
        <x:v>2025年全年/年末</x:v>
      </x:c>
      <x:c r="K154" t="str">
        <x:v>https://jx.ifeng.com/c/8sk35lBJNwe</x:v>
      </x:c>
      <x:c r="L154" t="str">
        <x:v>地级市口径，不可直接分配给县级行政区</x:v>
      </x:c>
    </x:row>
    <x:row r="155" ht="21" customHeight="1">
      <x:c r="A155" t="n">
        <x:v>2025</x:v>
      </x:c>
      <x:c r="B155" t="str">
        <x:v>地级市</x:v>
      </x:c>
      <x:c r="C155" t="str">
        <x:v>南昌市</x:v>
      </x:c>
      <x:c r="D155" t="str">
        <x:v>南昌市</x:v>
      </x:c>
      <x:c r="E155" t="str">
        <x:v>住房公积金</x:v>
      </x:c>
      <x:c r="F155" t="str">
        <x:v>个贷率_%</x:v>
      </x:c>
      <x:c r="G155" s="16" t="n">
        <x:v>68.46</x:v>
      </x:c>
      <x:c r="H155" t="str">
        <x:v>%</x:v>
      </x:c>
      <x:c r="I155" t="str">
        <x:v>省级年度报告分市表</x:v>
      </x:c>
      <x:c r="J155" t="str">
        <x:v>2025年全年/年末</x:v>
      </x:c>
      <x:c r="K155" t="str">
        <x:v>https://jx.ifeng.com/c/8sk35lBJNwe</x:v>
      </x:c>
      <x:c r="L155" t="str">
        <x:v>地级市口径，不可直接分配给县级行政区</x:v>
      </x:c>
    </x:row>
    <x:row r="156" ht="21" customHeight="1">
      <x:c r="A156" t="n">
        <x:v>2025</x:v>
      </x:c>
      <x:c r="B156" t="str">
        <x:v>地级市</x:v>
      </x:c>
      <x:c r="C156" t="str">
        <x:v>景德镇市</x:v>
      </x:c>
      <x:c r="D156" t="str">
        <x:v>景德镇市</x:v>
      </x:c>
      <x:c r="E156" t="str">
        <x:v>住房公积金</x:v>
      </x:c>
      <x:c r="F156" t="str">
        <x:v>实缴单位_万家</x:v>
      </x:c>
      <x:c r="G156" s="16" t="n">
        <x:v>0.24</x:v>
      </x:c>
      <x:c r="H156" t="str">
        <x:v>万家</x:v>
      </x:c>
      <x:c r="I156" t="str">
        <x:v>省级年度报告分市表</x:v>
      </x:c>
      <x:c r="J156" t="str">
        <x:v>2025年全年/年末</x:v>
      </x:c>
      <x:c r="K156" t="str">
        <x:v>https://jx.ifeng.com/c/8sk35lBJNwe</x:v>
      </x:c>
      <x:c r="L156" t="str">
        <x:v>地级市口径，不可直接分配给县级行政区</x:v>
      </x:c>
    </x:row>
    <x:row r="157" ht="21" customHeight="1">
      <x:c r="A157" t="n">
        <x:v>2025</x:v>
      </x:c>
      <x:c r="B157" t="str">
        <x:v>地级市</x:v>
      </x:c>
      <x:c r="C157" t="str">
        <x:v>景德镇市</x:v>
      </x:c>
      <x:c r="D157" t="str">
        <x:v>景德镇市</x:v>
      </x:c>
      <x:c r="E157" t="str">
        <x:v>住房公积金</x:v>
      </x:c>
      <x:c r="F157" t="str">
        <x:v>实缴人数_万人</x:v>
      </x:c>
      <x:c r="G157" s="16" t="n">
        <x:v>12.98</x:v>
      </x:c>
      <x:c r="H157" t="str">
        <x:v>万人</x:v>
      </x:c>
      <x:c r="I157" t="str">
        <x:v>省级年度报告分市表</x:v>
      </x:c>
      <x:c r="J157" t="str">
        <x:v>2025年全年/年末</x:v>
      </x:c>
      <x:c r="K157" t="str">
        <x:v>https://jx.ifeng.com/c/8sk35lBJNwe</x:v>
      </x:c>
      <x:c r="L157" t="str">
        <x:v>地级市口径，不可直接分配给县级行政区</x:v>
      </x:c>
    </x:row>
    <x:row r="158" ht="21" customHeight="1">
      <x:c r="A158" t="n">
        <x:v>2025</x:v>
      </x:c>
      <x:c r="B158" t="str">
        <x:v>地级市</x:v>
      </x:c>
      <x:c r="C158" t="str">
        <x:v>景德镇市</x:v>
      </x:c>
      <x:c r="D158" t="str">
        <x:v>景德镇市</x:v>
      </x:c>
      <x:c r="E158" t="str">
        <x:v>住房公积金</x:v>
      </x:c>
      <x:c r="F158" t="str">
        <x:v>缴存额_亿元</x:v>
      </x:c>
      <x:c r="G158" s="16" t="n">
        <x:v>26.58</x:v>
      </x:c>
      <x:c r="H158" t="str">
        <x:v>亿元</x:v>
      </x:c>
      <x:c r="I158" t="str">
        <x:v>省级年度报告分市表</x:v>
      </x:c>
      <x:c r="J158" t="str">
        <x:v>2025年全年/年末</x:v>
      </x:c>
      <x:c r="K158" t="str">
        <x:v>https://jx.ifeng.com/c/8sk35lBJNwe</x:v>
      </x:c>
      <x:c r="L158" t="str">
        <x:v>地级市口径，不可直接分配给县级行政区</x:v>
      </x:c>
    </x:row>
    <x:row r="159" ht="21" customHeight="1">
      <x:c r="A159" t="n">
        <x:v>2025</x:v>
      </x:c>
      <x:c r="B159" t="str">
        <x:v>地级市</x:v>
      </x:c>
      <x:c r="C159" t="str">
        <x:v>景德镇市</x:v>
      </x:c>
      <x:c r="D159" t="str">
        <x:v>景德镇市</x:v>
      </x:c>
      <x:c r="E159" t="str">
        <x:v>住房公积金</x:v>
      </x:c>
      <x:c r="F159" t="str">
        <x:v>提取额_亿元</x:v>
      </x:c>
      <x:c r="G159" s="16" t="n">
        <x:v>18.52</x:v>
      </x:c>
      <x:c r="H159" t="str">
        <x:v>亿元</x:v>
      </x:c>
      <x:c r="I159" t="str">
        <x:v>省级年度报告分市表</x:v>
      </x:c>
      <x:c r="J159" t="str">
        <x:v>2025年全年/年末</x:v>
      </x:c>
      <x:c r="K159" t="str">
        <x:v>https://jx.ifeng.com/c/8sk35lBJNwe</x:v>
      </x:c>
      <x:c r="L159" t="str">
        <x:v>地级市口径，不可直接分配给县级行政区</x:v>
      </x:c>
    </x:row>
    <x:row r="160" ht="21" customHeight="1">
      <x:c r="A160" t="n">
        <x:v>2025</x:v>
      </x:c>
      <x:c r="B160" t="str">
        <x:v>地级市</x:v>
      </x:c>
      <x:c r="C160" t="str">
        <x:v>景德镇市</x:v>
      </x:c>
      <x:c r="D160" t="str">
        <x:v>景德镇市</x:v>
      </x:c>
      <x:c r="E160" t="str">
        <x:v>住房公积金</x:v>
      </x:c>
      <x:c r="F160" t="str">
        <x:v>提取率_%</x:v>
      </x:c>
      <x:c r="G160" s="16" t="n">
        <x:v>69.69</x:v>
      </x:c>
      <x:c r="H160" t="str">
        <x:v>%</x:v>
      </x:c>
      <x:c r="I160" t="str">
        <x:v>省级年度报告分市表</x:v>
      </x:c>
      <x:c r="J160" t="str">
        <x:v>2025年全年/年末</x:v>
      </x:c>
      <x:c r="K160" t="str">
        <x:v>https://jx.ifeng.com/c/8sk35lBJNwe</x:v>
      </x:c>
      <x:c r="L160" t="str">
        <x:v>地级市口径，不可直接分配给县级行政区</x:v>
      </x:c>
    </x:row>
    <x:row r="161" ht="21" customHeight="1">
      <x:c r="A161" t="n">
        <x:v>2025</x:v>
      </x:c>
      <x:c r="B161" t="str">
        <x:v>地级市</x:v>
      </x:c>
      <x:c r="C161" t="str">
        <x:v>景德镇市</x:v>
      </x:c>
      <x:c r="D161" t="str">
        <x:v>景德镇市</x:v>
      </x:c>
      <x:c r="E161" t="str">
        <x:v>住房公积金</x:v>
      </x:c>
      <x:c r="F161" t="str">
        <x:v>住房消费提取_亿元</x:v>
      </x:c>
      <x:c r="G161" s="16" t="n">
        <x:v>13.39</x:v>
      </x:c>
      <x:c r="H161" t="str">
        <x:v>亿元</x:v>
      </x:c>
      <x:c r="I161" t="str">
        <x:v>省级年度报告分市表</x:v>
      </x:c>
      <x:c r="J161" t="str">
        <x:v>2025年全年/年末</x:v>
      </x:c>
      <x:c r="K161" t="str">
        <x:v>https://jx.ifeng.com/c/8sk35lBJNwe</x:v>
      </x:c>
      <x:c r="L161" t="str">
        <x:v>地级市口径，不可直接分配给县级行政区</x:v>
      </x:c>
    </x:row>
    <x:row r="162" ht="21" customHeight="1">
      <x:c r="A162" t="n">
        <x:v>2025</x:v>
      </x:c>
      <x:c r="B162" t="str">
        <x:v>地级市</x:v>
      </x:c>
      <x:c r="C162" t="str">
        <x:v>景德镇市</x:v>
      </x:c>
      <x:c r="D162" t="str">
        <x:v>景德镇市</x:v>
      </x:c>
      <x:c r="E162" t="str">
        <x:v>住房公积金</x:v>
      </x:c>
      <x:c r="F162" t="str">
        <x:v>非住房消费提取_亿元</x:v>
      </x:c>
      <x:c r="G162" s="16" t="n">
        <x:v>5.13</x:v>
      </x:c>
      <x:c r="H162" t="str">
        <x:v>亿元</x:v>
      </x:c>
      <x:c r="I162" t="str">
        <x:v>省级年度报告分市表</x:v>
      </x:c>
      <x:c r="J162" t="str">
        <x:v>2025年全年/年末</x:v>
      </x:c>
      <x:c r="K162" t="str">
        <x:v>https://jx.ifeng.com/c/8sk35lBJNwe</x:v>
      </x:c>
      <x:c r="L162" t="str">
        <x:v>地级市口径，不可直接分配给县级行政区</x:v>
      </x:c>
    </x:row>
    <x:row r="163" ht="21" customHeight="1">
      <x:c r="A163" t="n">
        <x:v>2025</x:v>
      </x:c>
      <x:c r="B163" t="str">
        <x:v>地级市</x:v>
      </x:c>
      <x:c r="C163" t="str">
        <x:v>景德镇市</x:v>
      </x:c>
      <x:c r="D163" t="str">
        <x:v>景德镇市</x:v>
      </x:c>
      <x:c r="E163" t="str">
        <x:v>住房公积金</x:v>
      </x:c>
      <x:c r="F163" t="str">
        <x:v>个人住房贷款_万笔</x:v>
      </x:c>
      <x:c r="G163" s="16" t="n">
        <x:v>0.16</x:v>
      </x:c>
      <x:c r="H163" t="str">
        <x:v>万笔</x:v>
      </x:c>
      <x:c r="I163" t="str">
        <x:v>省级年度报告分市表</x:v>
      </x:c>
      <x:c r="J163" t="str">
        <x:v>2025年全年/年末</x:v>
      </x:c>
      <x:c r="K163" t="str">
        <x:v>https://jx.ifeng.com/c/8sk35lBJNwe</x:v>
      </x:c>
      <x:c r="L163" t="str">
        <x:v>地级市口径，不可直接分配给县级行政区</x:v>
      </x:c>
    </x:row>
    <x:row r="164" ht="21" customHeight="1">
      <x:c r="A164" t="n">
        <x:v>2025</x:v>
      </x:c>
      <x:c r="B164" t="str">
        <x:v>地级市</x:v>
      </x:c>
      <x:c r="C164" t="str">
        <x:v>景德镇市</x:v>
      </x:c>
      <x:c r="D164" t="str">
        <x:v>景德镇市</x:v>
      </x:c>
      <x:c r="E164" t="str">
        <x:v>住房公积金</x:v>
      </x:c>
      <x:c r="F164" t="str">
        <x:v>发放贷款_亿元</x:v>
      </x:c>
      <x:c r="G164" s="16" t="n">
        <x:v>7.35</x:v>
      </x:c>
      <x:c r="H164" t="str">
        <x:v>亿元</x:v>
      </x:c>
      <x:c r="I164" t="str">
        <x:v>省级年度报告分市表</x:v>
      </x:c>
      <x:c r="J164" t="str">
        <x:v>2025年全年/年末</x:v>
      </x:c>
      <x:c r="K164" t="str">
        <x:v>https://jx.ifeng.com/c/8sk35lBJNwe</x:v>
      </x:c>
      <x:c r="L164" t="str">
        <x:v>地级市口径，不可直接分配给县级行政区</x:v>
      </x:c>
    </x:row>
    <x:row r="165" ht="21" customHeight="1">
      <x:c r="A165" t="n">
        <x:v>2025</x:v>
      </x:c>
      <x:c r="B165" t="str">
        <x:v>地级市</x:v>
      </x:c>
      <x:c r="C165" t="str">
        <x:v>景德镇市</x:v>
      </x:c>
      <x:c r="D165" t="str">
        <x:v>景德镇市</x:v>
      </x:c>
      <x:c r="E165" t="str">
        <x:v>住房公积金</x:v>
      </x:c>
      <x:c r="F165" t="str">
        <x:v>贷款余额_亿元</x:v>
      </x:c>
      <x:c r="G165" s="16" t="n">
        <x:v>61.85</x:v>
      </x:c>
      <x:c r="H165" t="str">
        <x:v>亿元</x:v>
      </x:c>
      <x:c r="I165" t="str">
        <x:v>省级年度报告分市表</x:v>
      </x:c>
      <x:c r="J165" t="str">
        <x:v>2025年全年/年末</x:v>
      </x:c>
      <x:c r="K165" t="str">
        <x:v>https://jx.ifeng.com/c/8sk35lBJNwe</x:v>
      </x:c>
      <x:c r="L165" t="str">
        <x:v>地级市口径，不可直接分配给县级行政区</x:v>
      </x:c>
    </x:row>
    <x:row r="166" ht="21" customHeight="1">
      <x:c r="A166" t="n">
        <x:v>2025</x:v>
      </x:c>
      <x:c r="B166" t="str">
        <x:v>地级市</x:v>
      </x:c>
      <x:c r="C166" t="str">
        <x:v>景德镇市</x:v>
      </x:c>
      <x:c r="D166" t="str">
        <x:v>景德镇市</x:v>
      </x:c>
      <x:c r="E166" t="str">
        <x:v>住房公积金</x:v>
      </x:c>
      <x:c r="F166" t="str">
        <x:v>个贷率_%</x:v>
      </x:c>
      <x:c r="G166" s="16" t="n">
        <x:v>63.42</x:v>
      </x:c>
      <x:c r="H166" t="str">
        <x:v>%</x:v>
      </x:c>
      <x:c r="I166" t="str">
        <x:v>省级年度报告分市表</x:v>
      </x:c>
      <x:c r="J166" t="str">
        <x:v>2025年全年/年末</x:v>
      </x:c>
      <x:c r="K166" t="str">
        <x:v>https://jx.ifeng.com/c/8sk35lBJNwe</x:v>
      </x:c>
      <x:c r="L166" t="str">
        <x:v>地级市口径，不可直接分配给县级行政区</x:v>
      </x:c>
    </x:row>
    <x:row r="167" ht="21" customHeight="1">
      <x:c r="A167" t="n">
        <x:v>2025</x:v>
      </x:c>
      <x:c r="B167" t="str">
        <x:v>地级市</x:v>
      </x:c>
      <x:c r="C167" t="str">
        <x:v>萍乡市</x:v>
      </x:c>
      <x:c r="D167" t="str">
        <x:v>萍乡市</x:v>
      </x:c>
      <x:c r="E167" t="str">
        <x:v>住房公积金</x:v>
      </x:c>
      <x:c r="F167" t="str">
        <x:v>实缴单位_万家</x:v>
      </x:c>
      <x:c r="G167" s="16" t="n">
        <x:v>0.26</x:v>
      </x:c>
      <x:c r="H167" t="str">
        <x:v>万家</x:v>
      </x:c>
      <x:c r="I167" t="str">
        <x:v>省级年度报告分市表</x:v>
      </x:c>
      <x:c r="J167" t="str">
        <x:v>2025年全年/年末</x:v>
      </x:c>
      <x:c r="K167" t="str">
        <x:v>https://jx.ifeng.com/c/8sk35lBJNwe</x:v>
      </x:c>
      <x:c r="L167" t="str">
        <x:v>地级市口径，不可直接分配给县级行政区</x:v>
      </x:c>
    </x:row>
    <x:row r="168" ht="21" customHeight="1">
      <x:c r="A168" t="n">
        <x:v>2025</x:v>
      </x:c>
      <x:c r="B168" t="str">
        <x:v>地级市</x:v>
      </x:c>
      <x:c r="C168" t="str">
        <x:v>萍乡市</x:v>
      </x:c>
      <x:c r="D168" t="str">
        <x:v>萍乡市</x:v>
      </x:c>
      <x:c r="E168" t="str">
        <x:v>住房公积金</x:v>
      </x:c>
      <x:c r="F168" t="str">
        <x:v>实缴人数_万人</x:v>
      </x:c>
      <x:c r="G168" s="16" t="n">
        <x:v>12.62</x:v>
      </x:c>
      <x:c r="H168" t="str">
        <x:v>万人</x:v>
      </x:c>
      <x:c r="I168" t="str">
        <x:v>省级年度报告分市表</x:v>
      </x:c>
      <x:c r="J168" t="str">
        <x:v>2025年全年/年末</x:v>
      </x:c>
      <x:c r="K168" t="str">
        <x:v>https://jx.ifeng.com/c/8sk35lBJNwe</x:v>
      </x:c>
      <x:c r="L168" t="str">
        <x:v>地级市口径，不可直接分配给县级行政区</x:v>
      </x:c>
    </x:row>
    <x:row r="169" ht="21" customHeight="1">
      <x:c r="A169" t="n">
        <x:v>2025</x:v>
      </x:c>
      <x:c r="B169" t="str">
        <x:v>地级市</x:v>
      </x:c>
      <x:c r="C169" t="str">
        <x:v>萍乡市</x:v>
      </x:c>
      <x:c r="D169" t="str">
        <x:v>萍乡市</x:v>
      </x:c>
      <x:c r="E169" t="str">
        <x:v>住房公积金</x:v>
      </x:c>
      <x:c r="F169" t="str">
        <x:v>缴存额_亿元</x:v>
      </x:c>
      <x:c r="G169" s="16" t="n">
        <x:v>26.26</x:v>
      </x:c>
      <x:c r="H169" t="str">
        <x:v>亿元</x:v>
      </x:c>
      <x:c r="I169" t="str">
        <x:v>省级年度报告分市表</x:v>
      </x:c>
      <x:c r="J169" t="str">
        <x:v>2025年全年/年末</x:v>
      </x:c>
      <x:c r="K169" t="str">
        <x:v>https://jx.ifeng.com/c/8sk35lBJNwe</x:v>
      </x:c>
      <x:c r="L169" t="str">
        <x:v>地级市口径，不可直接分配给县级行政区</x:v>
      </x:c>
    </x:row>
    <x:row r="170" ht="21" customHeight="1">
      <x:c r="A170" t="n">
        <x:v>2025</x:v>
      </x:c>
      <x:c r="B170" t="str">
        <x:v>地级市</x:v>
      </x:c>
      <x:c r="C170" t="str">
        <x:v>萍乡市</x:v>
      </x:c>
      <x:c r="D170" t="str">
        <x:v>萍乡市</x:v>
      </x:c>
      <x:c r="E170" t="str">
        <x:v>住房公积金</x:v>
      </x:c>
      <x:c r="F170" t="str">
        <x:v>提取额_亿元</x:v>
      </x:c>
      <x:c r="G170" s="16" t="n">
        <x:v>21.14</x:v>
      </x:c>
      <x:c r="H170" t="str">
        <x:v>亿元</x:v>
      </x:c>
      <x:c r="I170" t="str">
        <x:v>省级年度报告分市表</x:v>
      </x:c>
      <x:c r="J170" t="str">
        <x:v>2025年全年/年末</x:v>
      </x:c>
      <x:c r="K170" t="str">
        <x:v>https://jx.ifeng.com/c/8sk35lBJNwe</x:v>
      </x:c>
      <x:c r="L170" t="str">
        <x:v>地级市口径，不可直接分配给县级行政区</x:v>
      </x:c>
    </x:row>
    <x:row r="171" ht="21" customHeight="1">
      <x:c r="A171" t="n">
        <x:v>2025</x:v>
      </x:c>
      <x:c r="B171" t="str">
        <x:v>地级市</x:v>
      </x:c>
      <x:c r="C171" t="str">
        <x:v>萍乡市</x:v>
      </x:c>
      <x:c r="D171" t="str">
        <x:v>萍乡市</x:v>
      </x:c>
      <x:c r="E171" t="str">
        <x:v>住房公积金</x:v>
      </x:c>
      <x:c r="F171" t="str">
        <x:v>提取率_%</x:v>
      </x:c>
      <x:c r="G171" s="16" t="n">
        <x:v>80.48</x:v>
      </x:c>
      <x:c r="H171" t="str">
        <x:v>%</x:v>
      </x:c>
      <x:c r="I171" t="str">
        <x:v>省级年度报告分市表</x:v>
      </x:c>
      <x:c r="J171" t="str">
        <x:v>2025年全年/年末</x:v>
      </x:c>
      <x:c r="K171" t="str">
        <x:v>https://jx.ifeng.com/c/8sk35lBJNwe</x:v>
      </x:c>
      <x:c r="L171" t="str">
        <x:v>地级市口径，不可直接分配给县级行政区</x:v>
      </x:c>
    </x:row>
    <x:row r="172" ht="21" customHeight="1">
      <x:c r="A172" t="n">
        <x:v>2025</x:v>
      </x:c>
      <x:c r="B172" t="str">
        <x:v>地级市</x:v>
      </x:c>
      <x:c r="C172" t="str">
        <x:v>萍乡市</x:v>
      </x:c>
      <x:c r="D172" t="str">
        <x:v>萍乡市</x:v>
      </x:c>
      <x:c r="E172" t="str">
        <x:v>住房公积金</x:v>
      </x:c>
      <x:c r="F172" t="str">
        <x:v>住房消费提取_亿元</x:v>
      </x:c>
      <x:c r="G172" s="16" t="n">
        <x:v>15.38</x:v>
      </x:c>
      <x:c r="H172" t="str">
        <x:v>亿元</x:v>
      </x:c>
      <x:c r="I172" t="str">
        <x:v>省级年度报告分市表</x:v>
      </x:c>
      <x:c r="J172" t="str">
        <x:v>2025年全年/年末</x:v>
      </x:c>
      <x:c r="K172" t="str">
        <x:v>https://jx.ifeng.com/c/8sk35lBJNwe</x:v>
      </x:c>
      <x:c r="L172" t="str">
        <x:v>地级市口径，不可直接分配给县级行政区</x:v>
      </x:c>
    </x:row>
    <x:row r="173" ht="21" customHeight="1">
      <x:c r="A173" t="n">
        <x:v>2025</x:v>
      </x:c>
      <x:c r="B173" t="str">
        <x:v>地级市</x:v>
      </x:c>
      <x:c r="C173" t="str">
        <x:v>萍乡市</x:v>
      </x:c>
      <x:c r="D173" t="str">
        <x:v>萍乡市</x:v>
      </x:c>
      <x:c r="E173" t="str">
        <x:v>住房公积金</x:v>
      </x:c>
      <x:c r="F173" t="str">
        <x:v>非住房消费提取_亿元</x:v>
      </x:c>
      <x:c r="G173" s="16" t="n">
        <x:v>5.76</x:v>
      </x:c>
      <x:c r="H173" t="str">
        <x:v>亿元</x:v>
      </x:c>
      <x:c r="I173" t="str">
        <x:v>省级年度报告分市表</x:v>
      </x:c>
      <x:c r="J173" t="str">
        <x:v>2025年全年/年末</x:v>
      </x:c>
      <x:c r="K173" t="str">
        <x:v>https://jx.ifeng.com/c/8sk35lBJNwe</x:v>
      </x:c>
      <x:c r="L173" t="str">
        <x:v>地级市口径，不可直接分配给县级行政区</x:v>
      </x:c>
    </x:row>
    <x:row r="174" ht="21" customHeight="1">
      <x:c r="A174" t="n">
        <x:v>2025</x:v>
      </x:c>
      <x:c r="B174" t="str">
        <x:v>地级市</x:v>
      </x:c>
      <x:c r="C174" t="str">
        <x:v>萍乡市</x:v>
      </x:c>
      <x:c r="D174" t="str">
        <x:v>萍乡市</x:v>
      </x:c>
      <x:c r="E174" t="str">
        <x:v>住房公积金</x:v>
      </x:c>
      <x:c r="F174" t="str">
        <x:v>个人住房贷款_万笔</x:v>
      </x:c>
      <x:c r="G174" s="16" t="n">
        <x:v>0.19</x:v>
      </x:c>
      <x:c r="H174" t="str">
        <x:v>万笔</x:v>
      </x:c>
      <x:c r="I174" t="str">
        <x:v>省级年度报告分市表</x:v>
      </x:c>
      <x:c r="J174" t="str">
        <x:v>2025年全年/年末</x:v>
      </x:c>
      <x:c r="K174" t="str">
        <x:v>https://jx.ifeng.com/c/8sk35lBJNwe</x:v>
      </x:c>
      <x:c r="L174" t="str">
        <x:v>地级市口径，不可直接分配给县级行政区</x:v>
      </x:c>
    </x:row>
    <x:row r="175" ht="21" customHeight="1">
      <x:c r="A175" t="n">
        <x:v>2025</x:v>
      </x:c>
      <x:c r="B175" t="str">
        <x:v>地级市</x:v>
      </x:c>
      <x:c r="C175" t="str">
        <x:v>萍乡市</x:v>
      </x:c>
      <x:c r="D175" t="str">
        <x:v>萍乡市</x:v>
      </x:c>
      <x:c r="E175" t="str">
        <x:v>住房公积金</x:v>
      </x:c>
      <x:c r="F175" t="str">
        <x:v>发放贷款_亿元</x:v>
      </x:c>
      <x:c r="G175" s="16" t="n">
        <x:v>7.18</x:v>
      </x:c>
      <x:c r="H175" t="str">
        <x:v>亿元</x:v>
      </x:c>
      <x:c r="I175" t="str">
        <x:v>省级年度报告分市表</x:v>
      </x:c>
      <x:c r="J175" t="str">
        <x:v>2025年全年/年末</x:v>
      </x:c>
      <x:c r="K175" t="str">
        <x:v>https://jx.ifeng.com/c/8sk35lBJNwe</x:v>
      </x:c>
      <x:c r="L175" t="str">
        <x:v>地级市口径，不可直接分配给县级行政区</x:v>
      </x:c>
    </x:row>
    <x:row r="176" ht="21" customHeight="1">
      <x:c r="A176" t="n">
        <x:v>2025</x:v>
      </x:c>
      <x:c r="B176" t="str">
        <x:v>地级市</x:v>
      </x:c>
      <x:c r="C176" t="str">
        <x:v>萍乡市</x:v>
      </x:c>
      <x:c r="D176" t="str">
        <x:v>萍乡市</x:v>
      </x:c>
      <x:c r="E176" t="str">
        <x:v>住房公积金</x:v>
      </x:c>
      <x:c r="F176" t="str">
        <x:v>贷款余额_亿元</x:v>
      </x:c>
      <x:c r="G176" s="16" t="n">
        <x:v>63.76</x:v>
      </x:c>
      <x:c r="H176" t="str">
        <x:v>亿元</x:v>
      </x:c>
      <x:c r="I176" t="str">
        <x:v>省级年度报告分市表</x:v>
      </x:c>
      <x:c r="J176" t="str">
        <x:v>2025年全年/年末</x:v>
      </x:c>
      <x:c r="K176" t="str">
        <x:v>https://jx.ifeng.com/c/8sk35lBJNwe</x:v>
      </x:c>
      <x:c r="L176" t="str">
        <x:v>地级市口径，不可直接分配给县级行政区</x:v>
      </x:c>
    </x:row>
    <x:row r="177" ht="21" customHeight="1">
      <x:c r="A177" t="n">
        <x:v>2025</x:v>
      </x:c>
      <x:c r="B177" t="str">
        <x:v>地级市</x:v>
      </x:c>
      <x:c r="C177" t="str">
        <x:v>萍乡市</x:v>
      </x:c>
      <x:c r="D177" t="str">
        <x:v>萍乡市</x:v>
      </x:c>
      <x:c r="E177" t="str">
        <x:v>住房公积金</x:v>
      </x:c>
      <x:c r="F177" t="str">
        <x:v>个贷率_%</x:v>
      </x:c>
      <x:c r="G177" s="16" t="n">
        <x:v>60.95</x:v>
      </x:c>
      <x:c r="H177" t="str">
        <x:v>%</x:v>
      </x:c>
      <x:c r="I177" t="str">
        <x:v>省级年度报告分市表</x:v>
      </x:c>
      <x:c r="J177" t="str">
        <x:v>2025年全年/年末</x:v>
      </x:c>
      <x:c r="K177" t="str">
        <x:v>https://jx.ifeng.com/c/8sk35lBJNwe</x:v>
      </x:c>
      <x:c r="L177" t="str">
        <x:v>地级市口径，不可直接分配给县级行政区</x:v>
      </x:c>
    </x:row>
    <x:row r="178" ht="21" customHeight="1">
      <x:c r="A178" t="n">
        <x:v>2025</x:v>
      </x:c>
      <x:c r="B178" t="str">
        <x:v>地级市</x:v>
      </x:c>
      <x:c r="C178" t="str">
        <x:v>九江市</x:v>
      </x:c>
      <x:c r="D178" t="str">
        <x:v>九江市</x:v>
      </x:c>
      <x:c r="E178" t="str">
        <x:v>住房公积金</x:v>
      </x:c>
      <x:c r="F178" t="str">
        <x:v>实缴单位_万家</x:v>
      </x:c>
      <x:c r="G178" s="16" t="n">
        <x:v>0.79</x:v>
      </x:c>
      <x:c r="H178" t="str">
        <x:v>万家</x:v>
      </x:c>
      <x:c r="I178" t="str">
        <x:v>省级年度报告分市表</x:v>
      </x:c>
      <x:c r="J178" t="str">
        <x:v>2025年全年/年末</x:v>
      </x:c>
      <x:c r="K178" t="str">
        <x:v>https://jx.ifeng.com/c/8sk35lBJNwe</x:v>
      </x:c>
      <x:c r="L178" t="str">
        <x:v>地级市口径，不可直接分配给县级行政区</x:v>
      </x:c>
    </x:row>
    <x:row r="179" ht="21" customHeight="1">
      <x:c r="A179" t="n">
        <x:v>2025</x:v>
      </x:c>
      <x:c r="B179" t="str">
        <x:v>地级市</x:v>
      </x:c>
      <x:c r="C179" t="str">
        <x:v>九江市</x:v>
      </x:c>
      <x:c r="D179" t="str">
        <x:v>九江市</x:v>
      </x:c>
      <x:c r="E179" t="str">
        <x:v>住房公积金</x:v>
      </x:c>
      <x:c r="F179" t="str">
        <x:v>实缴人数_万人</x:v>
      </x:c>
      <x:c r="G179" s="16" t="n">
        <x:v>33.66</x:v>
      </x:c>
      <x:c r="H179" t="str">
        <x:v>万人</x:v>
      </x:c>
      <x:c r="I179" t="str">
        <x:v>省级年度报告分市表</x:v>
      </x:c>
      <x:c r="J179" t="str">
        <x:v>2025年全年/年末</x:v>
      </x:c>
      <x:c r="K179" t="str">
        <x:v>https://jx.ifeng.com/c/8sk35lBJNwe</x:v>
      </x:c>
      <x:c r="L179" t="str">
        <x:v>地级市口径，不可直接分配给县级行政区</x:v>
      </x:c>
    </x:row>
    <x:row r="180" ht="21" customHeight="1">
      <x:c r="A180" t="n">
        <x:v>2025</x:v>
      </x:c>
      <x:c r="B180" t="str">
        <x:v>地级市</x:v>
      </x:c>
      <x:c r="C180" t="str">
        <x:v>九江市</x:v>
      </x:c>
      <x:c r="D180" t="str">
        <x:v>九江市</x:v>
      </x:c>
      <x:c r="E180" t="str">
        <x:v>住房公积金</x:v>
      </x:c>
      <x:c r="F180" t="str">
        <x:v>缴存额_亿元</x:v>
      </x:c>
      <x:c r="G180" s="16" t="n">
        <x:v>66</x:v>
      </x:c>
      <x:c r="H180" t="str">
        <x:v>亿元</x:v>
      </x:c>
      <x:c r="I180" t="str">
        <x:v>省级年度报告分市表</x:v>
      </x:c>
      <x:c r="J180" t="str">
        <x:v>2025年全年/年末</x:v>
      </x:c>
      <x:c r="K180" t="str">
        <x:v>https://jx.ifeng.com/c/8sk35lBJNwe</x:v>
      </x:c>
      <x:c r="L180" t="str">
        <x:v>地级市口径，不可直接分配给县级行政区</x:v>
      </x:c>
    </x:row>
    <x:row r="181" ht="21" customHeight="1">
      <x:c r="A181" t="n">
        <x:v>2025</x:v>
      </x:c>
      <x:c r="B181" t="str">
        <x:v>地级市</x:v>
      </x:c>
      <x:c r="C181" t="str">
        <x:v>九江市</x:v>
      </x:c>
      <x:c r="D181" t="str">
        <x:v>九江市</x:v>
      </x:c>
      <x:c r="E181" t="str">
        <x:v>住房公积金</x:v>
      </x:c>
      <x:c r="F181" t="str">
        <x:v>提取额_亿元</x:v>
      </x:c>
      <x:c r="G181" s="16" t="n">
        <x:v>47.18</x:v>
      </x:c>
      <x:c r="H181" t="str">
        <x:v>亿元</x:v>
      </x:c>
      <x:c r="I181" t="str">
        <x:v>省级年度报告分市表</x:v>
      </x:c>
      <x:c r="J181" t="str">
        <x:v>2025年全年/年末</x:v>
      </x:c>
      <x:c r="K181" t="str">
        <x:v>https://jx.ifeng.com/c/8sk35lBJNwe</x:v>
      </x:c>
      <x:c r="L181" t="str">
        <x:v>地级市口径，不可直接分配给县级行政区</x:v>
      </x:c>
    </x:row>
    <x:row r="182" ht="21" customHeight="1">
      <x:c r="A182" t="n">
        <x:v>2025</x:v>
      </x:c>
      <x:c r="B182" t="str">
        <x:v>地级市</x:v>
      </x:c>
      <x:c r="C182" t="str">
        <x:v>九江市</x:v>
      </x:c>
      <x:c r="D182" t="str">
        <x:v>九江市</x:v>
      </x:c>
      <x:c r="E182" t="str">
        <x:v>住房公积金</x:v>
      </x:c>
      <x:c r="F182" t="str">
        <x:v>提取率_%</x:v>
      </x:c>
      <x:c r="G182" s="16" t="n">
        <x:v>71.48</x:v>
      </x:c>
      <x:c r="H182" t="str">
        <x:v>%</x:v>
      </x:c>
      <x:c r="I182" t="str">
        <x:v>省级年度报告分市表</x:v>
      </x:c>
      <x:c r="J182" t="str">
        <x:v>2025年全年/年末</x:v>
      </x:c>
      <x:c r="K182" t="str">
        <x:v>https://jx.ifeng.com/c/8sk35lBJNwe</x:v>
      </x:c>
      <x:c r="L182" t="str">
        <x:v>地级市口径，不可直接分配给县级行政区</x:v>
      </x:c>
    </x:row>
    <x:row r="183" ht="21" customHeight="1">
      <x:c r="A183" t="n">
        <x:v>2025</x:v>
      </x:c>
      <x:c r="B183" t="str">
        <x:v>地级市</x:v>
      </x:c>
      <x:c r="C183" t="str">
        <x:v>九江市</x:v>
      </x:c>
      <x:c r="D183" t="str">
        <x:v>九江市</x:v>
      </x:c>
      <x:c r="E183" t="str">
        <x:v>住房公积金</x:v>
      </x:c>
      <x:c r="F183" t="str">
        <x:v>住房消费提取_亿元</x:v>
      </x:c>
      <x:c r="G183" s="16" t="n">
        <x:v>33.97</x:v>
      </x:c>
      <x:c r="H183" t="str">
        <x:v>亿元</x:v>
      </x:c>
      <x:c r="I183" t="str">
        <x:v>省级年度报告分市表</x:v>
      </x:c>
      <x:c r="J183" t="str">
        <x:v>2025年全年/年末</x:v>
      </x:c>
      <x:c r="K183" t="str">
        <x:v>https://jx.ifeng.com/c/8sk35lBJNwe</x:v>
      </x:c>
      <x:c r="L183" t="str">
        <x:v>地级市口径，不可直接分配给县级行政区</x:v>
      </x:c>
    </x:row>
    <x:row r="184" ht="21" customHeight="1">
      <x:c r="A184" t="n">
        <x:v>2025</x:v>
      </x:c>
      <x:c r="B184" t="str">
        <x:v>地级市</x:v>
      </x:c>
      <x:c r="C184" t="str">
        <x:v>九江市</x:v>
      </x:c>
      <x:c r="D184" t="str">
        <x:v>九江市</x:v>
      </x:c>
      <x:c r="E184" t="str">
        <x:v>住房公积金</x:v>
      </x:c>
      <x:c r="F184" t="str">
        <x:v>非住房消费提取_亿元</x:v>
      </x:c>
      <x:c r="G184" s="16" t="n">
        <x:v>13.21</x:v>
      </x:c>
      <x:c r="H184" t="str">
        <x:v>亿元</x:v>
      </x:c>
      <x:c r="I184" t="str">
        <x:v>省级年度报告分市表</x:v>
      </x:c>
      <x:c r="J184" t="str">
        <x:v>2025年全年/年末</x:v>
      </x:c>
      <x:c r="K184" t="str">
        <x:v>https://jx.ifeng.com/c/8sk35lBJNwe</x:v>
      </x:c>
      <x:c r="L184" t="str">
        <x:v>地级市口径，不可直接分配给县级行政区</x:v>
      </x:c>
    </x:row>
    <x:row r="185" ht="21" customHeight="1">
      <x:c r="A185" t="n">
        <x:v>2025</x:v>
      </x:c>
      <x:c r="B185" t="str">
        <x:v>地级市</x:v>
      </x:c>
      <x:c r="C185" t="str">
        <x:v>九江市</x:v>
      </x:c>
      <x:c r="D185" t="str">
        <x:v>九江市</x:v>
      </x:c>
      <x:c r="E185" t="str">
        <x:v>住房公积金</x:v>
      </x:c>
      <x:c r="F185" t="str">
        <x:v>个人住房贷款_万笔</x:v>
      </x:c>
      <x:c r="G185" s="16" t="n">
        <x:v>0.41</x:v>
      </x:c>
      <x:c r="H185" t="str">
        <x:v>万笔</x:v>
      </x:c>
      <x:c r="I185" t="str">
        <x:v>省级年度报告分市表</x:v>
      </x:c>
      <x:c r="J185" t="str">
        <x:v>2025年全年/年末</x:v>
      </x:c>
      <x:c r="K185" t="str">
        <x:v>https://jx.ifeng.com/c/8sk35lBJNwe</x:v>
      </x:c>
      <x:c r="L185" t="str">
        <x:v>地级市口径，不可直接分配给县级行政区</x:v>
      </x:c>
    </x:row>
    <x:row r="186" ht="21" customHeight="1">
      <x:c r="A186" t="n">
        <x:v>2025</x:v>
      </x:c>
      <x:c r="B186" t="str">
        <x:v>地级市</x:v>
      </x:c>
      <x:c r="C186" t="str">
        <x:v>九江市</x:v>
      </x:c>
      <x:c r="D186" t="str">
        <x:v>九江市</x:v>
      </x:c>
      <x:c r="E186" t="str">
        <x:v>住房公积金</x:v>
      </x:c>
      <x:c r="F186" t="str">
        <x:v>发放贷款_亿元</x:v>
      </x:c>
      <x:c r="G186" s="16" t="n">
        <x:v>18.3</x:v>
      </x:c>
      <x:c r="H186" t="str">
        <x:v>亿元</x:v>
      </x:c>
      <x:c r="I186" t="str">
        <x:v>省级年度报告分市表</x:v>
      </x:c>
      <x:c r="J186" t="str">
        <x:v>2025年全年/年末</x:v>
      </x:c>
      <x:c r="K186" t="str">
        <x:v>https://jx.ifeng.com/c/8sk35lBJNwe</x:v>
      </x:c>
      <x:c r="L186" t="str">
        <x:v>地级市口径，不可直接分配给县级行政区</x:v>
      </x:c>
    </x:row>
    <x:row r="187" ht="21" customHeight="1">
      <x:c r="A187" t="n">
        <x:v>2025</x:v>
      </x:c>
      <x:c r="B187" t="str">
        <x:v>地级市</x:v>
      </x:c>
      <x:c r="C187" t="str">
        <x:v>九江市</x:v>
      </x:c>
      <x:c r="D187" t="str">
        <x:v>九江市</x:v>
      </x:c>
      <x:c r="E187" t="str">
        <x:v>住房公积金</x:v>
      </x:c>
      <x:c r="F187" t="str">
        <x:v>贷款余额_亿元</x:v>
      </x:c>
      <x:c r="G187" s="16" t="n">
        <x:v>144.51</x:v>
      </x:c>
      <x:c r="H187" t="str">
        <x:v>亿元</x:v>
      </x:c>
      <x:c r="I187" t="str">
        <x:v>省级年度报告分市表</x:v>
      </x:c>
      <x:c r="J187" t="str">
        <x:v>2025年全年/年末</x:v>
      </x:c>
      <x:c r="K187" t="str">
        <x:v>https://jx.ifeng.com/c/8sk35lBJNwe</x:v>
      </x:c>
      <x:c r="L187" t="str">
        <x:v>地级市口径，不可直接分配给县级行政区</x:v>
      </x:c>
    </x:row>
    <x:row r="188" ht="21" customHeight="1">
      <x:c r="A188" t="n">
        <x:v>2025</x:v>
      </x:c>
      <x:c r="B188" t="str">
        <x:v>地级市</x:v>
      </x:c>
      <x:c r="C188" t="str">
        <x:v>九江市</x:v>
      </x:c>
      <x:c r="D188" t="str">
        <x:v>九江市</x:v>
      </x:c>
      <x:c r="E188" t="str">
        <x:v>住房公积金</x:v>
      </x:c>
      <x:c r="F188" t="str">
        <x:v>个贷率_%</x:v>
      </x:c>
      <x:c r="G188" s="16" t="n">
        <x:v>68.75</x:v>
      </x:c>
      <x:c r="H188" t="str">
        <x:v>%</x:v>
      </x:c>
      <x:c r="I188" t="str">
        <x:v>省级年度报告分市表</x:v>
      </x:c>
      <x:c r="J188" t="str">
        <x:v>2025年全年/年末</x:v>
      </x:c>
      <x:c r="K188" t="str">
        <x:v>https://jx.ifeng.com/c/8sk35lBJNwe</x:v>
      </x:c>
      <x:c r="L188" t="str">
        <x:v>地级市口径，不可直接分配给县级行政区</x:v>
      </x:c>
    </x:row>
    <x:row r="189" ht="21" customHeight="1">
      <x:c r="A189" t="n">
        <x:v>2025</x:v>
      </x:c>
      <x:c r="B189" t="str">
        <x:v>地级市</x:v>
      </x:c>
      <x:c r="C189" t="str">
        <x:v>新余市</x:v>
      </x:c>
      <x:c r="D189" t="str">
        <x:v>新余市</x:v>
      </x:c>
      <x:c r="E189" t="str">
        <x:v>住房公积金</x:v>
      </x:c>
      <x:c r="F189" t="str">
        <x:v>实缴单位_万家</x:v>
      </x:c>
      <x:c r="G189" s="16" t="n">
        <x:v>0.16</x:v>
      </x:c>
      <x:c r="H189" t="str">
        <x:v>万家</x:v>
      </x:c>
      <x:c r="I189" t="str">
        <x:v>省级年度报告分市表</x:v>
      </x:c>
      <x:c r="J189" t="str">
        <x:v>2025年全年/年末</x:v>
      </x:c>
      <x:c r="K189" t="str">
        <x:v>https://jx.ifeng.com/c/8sk35lBJNwe</x:v>
      </x:c>
      <x:c r="L189" t="str">
        <x:v>地级市口径，不可直接分配给县级行政区</x:v>
      </x:c>
    </x:row>
    <x:row r="190" ht="21" customHeight="1">
      <x:c r="A190" t="n">
        <x:v>2025</x:v>
      </x:c>
      <x:c r="B190" t="str">
        <x:v>地级市</x:v>
      </x:c>
      <x:c r="C190" t="str">
        <x:v>新余市</x:v>
      </x:c>
      <x:c r="D190" t="str">
        <x:v>新余市</x:v>
      </x:c>
      <x:c r="E190" t="str">
        <x:v>住房公积金</x:v>
      </x:c>
      <x:c r="F190" t="str">
        <x:v>实缴人数_万人</x:v>
      </x:c>
      <x:c r="G190" s="16" t="n">
        <x:v>10.87</x:v>
      </x:c>
      <x:c r="H190" t="str">
        <x:v>万人</x:v>
      </x:c>
      <x:c r="I190" t="str">
        <x:v>省级年度报告分市表</x:v>
      </x:c>
      <x:c r="J190" t="str">
        <x:v>2025年全年/年末</x:v>
      </x:c>
      <x:c r="K190" t="str">
        <x:v>https://jx.ifeng.com/c/8sk35lBJNwe</x:v>
      </x:c>
      <x:c r="L190" t="str">
        <x:v>地级市口径，不可直接分配给县级行政区</x:v>
      </x:c>
    </x:row>
    <x:row r="191" ht="21" customHeight="1">
      <x:c r="A191" t="n">
        <x:v>2025</x:v>
      </x:c>
      <x:c r="B191" t="str">
        <x:v>地级市</x:v>
      </x:c>
      <x:c r="C191" t="str">
        <x:v>新余市</x:v>
      </x:c>
      <x:c r="D191" t="str">
        <x:v>新余市</x:v>
      </x:c>
      <x:c r="E191" t="str">
        <x:v>住房公积金</x:v>
      </x:c>
      <x:c r="F191" t="str">
        <x:v>缴存额_亿元</x:v>
      </x:c>
      <x:c r="G191" s="16" t="n">
        <x:v>24.92</x:v>
      </x:c>
      <x:c r="H191" t="str">
        <x:v>亿元</x:v>
      </x:c>
      <x:c r="I191" t="str">
        <x:v>省级年度报告分市表</x:v>
      </x:c>
      <x:c r="J191" t="str">
        <x:v>2025年全年/年末</x:v>
      </x:c>
      <x:c r="K191" t="str">
        <x:v>https://jx.ifeng.com/c/8sk35lBJNwe</x:v>
      </x:c>
      <x:c r="L191" t="str">
        <x:v>地级市口径，不可直接分配给县级行政区</x:v>
      </x:c>
    </x:row>
    <x:row r="192" ht="21" customHeight="1">
      <x:c r="A192" t="n">
        <x:v>2025</x:v>
      </x:c>
      <x:c r="B192" t="str">
        <x:v>地级市</x:v>
      </x:c>
      <x:c r="C192" t="str">
        <x:v>新余市</x:v>
      </x:c>
      <x:c r="D192" t="str">
        <x:v>新余市</x:v>
      </x:c>
      <x:c r="E192" t="str">
        <x:v>住房公积金</x:v>
      </x:c>
      <x:c r="F192" t="str">
        <x:v>提取额_亿元</x:v>
      </x:c>
      <x:c r="G192" s="16" t="n">
        <x:v>15.55</x:v>
      </x:c>
      <x:c r="H192" t="str">
        <x:v>亿元</x:v>
      </x:c>
      <x:c r="I192" t="str">
        <x:v>省级年度报告分市表</x:v>
      </x:c>
      <x:c r="J192" t="str">
        <x:v>2025年全年/年末</x:v>
      </x:c>
      <x:c r="K192" t="str">
        <x:v>https://jx.ifeng.com/c/8sk35lBJNwe</x:v>
      </x:c>
      <x:c r="L192" t="str">
        <x:v>地级市口径，不可直接分配给县级行政区</x:v>
      </x:c>
    </x:row>
    <x:row r="193" ht="21" customHeight="1">
      <x:c r="A193" t="n">
        <x:v>2025</x:v>
      </x:c>
      <x:c r="B193" t="str">
        <x:v>地级市</x:v>
      </x:c>
      <x:c r="C193" t="str">
        <x:v>新余市</x:v>
      </x:c>
      <x:c r="D193" t="str">
        <x:v>新余市</x:v>
      </x:c>
      <x:c r="E193" t="str">
        <x:v>住房公积金</x:v>
      </x:c>
      <x:c r="F193" t="str">
        <x:v>提取率_%</x:v>
      </x:c>
      <x:c r="G193" s="16" t="n">
        <x:v>62.41</x:v>
      </x:c>
      <x:c r="H193" t="str">
        <x:v>%</x:v>
      </x:c>
      <x:c r="I193" t="str">
        <x:v>省级年度报告分市表</x:v>
      </x:c>
      <x:c r="J193" t="str">
        <x:v>2025年全年/年末</x:v>
      </x:c>
      <x:c r="K193" t="str">
        <x:v>https://jx.ifeng.com/c/8sk35lBJNwe</x:v>
      </x:c>
      <x:c r="L193" t="str">
        <x:v>地级市口径，不可直接分配给县级行政区</x:v>
      </x:c>
    </x:row>
    <x:row r="194" ht="21" customHeight="1">
      <x:c r="A194" t="n">
        <x:v>2025</x:v>
      </x:c>
      <x:c r="B194" t="str">
        <x:v>地级市</x:v>
      </x:c>
      <x:c r="C194" t="str">
        <x:v>新余市</x:v>
      </x:c>
      <x:c r="D194" t="str">
        <x:v>新余市</x:v>
      </x:c>
      <x:c r="E194" t="str">
        <x:v>住房公积金</x:v>
      </x:c>
      <x:c r="F194" t="str">
        <x:v>住房消费提取_亿元</x:v>
      </x:c>
      <x:c r="G194" s="16" t="n">
        <x:v>9.67</x:v>
      </x:c>
      <x:c r="H194" t="str">
        <x:v>亿元</x:v>
      </x:c>
      <x:c r="I194" t="str">
        <x:v>省级年度报告分市表</x:v>
      </x:c>
      <x:c r="J194" t="str">
        <x:v>2025年全年/年末</x:v>
      </x:c>
      <x:c r="K194" t="str">
        <x:v>https://jx.ifeng.com/c/8sk35lBJNwe</x:v>
      </x:c>
      <x:c r="L194" t="str">
        <x:v>地级市口径，不可直接分配给县级行政区</x:v>
      </x:c>
    </x:row>
    <x:row r="195" ht="21" customHeight="1">
      <x:c r="A195" t="n">
        <x:v>2025</x:v>
      </x:c>
      <x:c r="B195" t="str">
        <x:v>地级市</x:v>
      </x:c>
      <x:c r="C195" t="str">
        <x:v>新余市</x:v>
      </x:c>
      <x:c r="D195" t="str">
        <x:v>新余市</x:v>
      </x:c>
      <x:c r="E195" t="str">
        <x:v>住房公积金</x:v>
      </x:c>
      <x:c r="F195" t="str">
        <x:v>非住房消费提取_亿元</x:v>
      </x:c>
      <x:c r="G195" s="16" t="n">
        <x:v>5.88</x:v>
      </x:c>
      <x:c r="H195" t="str">
        <x:v>亿元</x:v>
      </x:c>
      <x:c r="I195" t="str">
        <x:v>省级年度报告分市表</x:v>
      </x:c>
      <x:c r="J195" t="str">
        <x:v>2025年全年/年末</x:v>
      </x:c>
      <x:c r="K195" t="str">
        <x:v>https://jx.ifeng.com/c/8sk35lBJNwe</x:v>
      </x:c>
      <x:c r="L195" t="str">
        <x:v>地级市口径，不可直接分配给县级行政区</x:v>
      </x:c>
    </x:row>
    <x:row r="196" ht="21" customHeight="1">
      <x:c r="A196" t="n">
        <x:v>2025</x:v>
      </x:c>
      <x:c r="B196" t="str">
        <x:v>地级市</x:v>
      </x:c>
      <x:c r="C196" t="str">
        <x:v>新余市</x:v>
      </x:c>
      <x:c r="D196" t="str">
        <x:v>新余市</x:v>
      </x:c>
      <x:c r="E196" t="str">
        <x:v>住房公积金</x:v>
      </x:c>
      <x:c r="F196" t="str">
        <x:v>个人住房贷款_万笔</x:v>
      </x:c>
      <x:c r="G196" s="16" t="n">
        <x:v>0.14</x:v>
      </x:c>
      <x:c r="H196" t="str">
        <x:v>万笔</x:v>
      </x:c>
      <x:c r="I196" t="str">
        <x:v>省级年度报告分市表</x:v>
      </x:c>
      <x:c r="J196" t="str">
        <x:v>2025年全年/年末</x:v>
      </x:c>
      <x:c r="K196" t="str">
        <x:v>https://jx.ifeng.com/c/8sk35lBJNwe</x:v>
      </x:c>
      <x:c r="L196" t="str">
        <x:v>地级市口径，不可直接分配给县级行政区</x:v>
      </x:c>
    </x:row>
    <x:row r="197" ht="21" customHeight="1">
      <x:c r="A197" t="n">
        <x:v>2025</x:v>
      </x:c>
      <x:c r="B197" t="str">
        <x:v>地级市</x:v>
      </x:c>
      <x:c r="C197" t="str">
        <x:v>新余市</x:v>
      </x:c>
      <x:c r="D197" t="str">
        <x:v>新余市</x:v>
      </x:c>
      <x:c r="E197" t="str">
        <x:v>住房公积金</x:v>
      </x:c>
      <x:c r="F197" t="str">
        <x:v>发放贷款_亿元</x:v>
      </x:c>
      <x:c r="G197" s="16" t="n">
        <x:v>5.67</x:v>
      </x:c>
      <x:c r="H197" t="str">
        <x:v>亿元</x:v>
      </x:c>
      <x:c r="I197" t="str">
        <x:v>省级年度报告分市表</x:v>
      </x:c>
      <x:c r="J197" t="str">
        <x:v>2025年全年/年末</x:v>
      </x:c>
      <x:c r="K197" t="str">
        <x:v>https://jx.ifeng.com/c/8sk35lBJNwe</x:v>
      </x:c>
      <x:c r="L197" t="str">
        <x:v>地级市口径，不可直接分配给县级行政区</x:v>
      </x:c>
    </x:row>
    <x:row r="198" ht="21" customHeight="1">
      <x:c r="A198" t="n">
        <x:v>2025</x:v>
      </x:c>
      <x:c r="B198" t="str">
        <x:v>地级市</x:v>
      </x:c>
      <x:c r="C198" t="str">
        <x:v>新余市</x:v>
      </x:c>
      <x:c r="D198" t="str">
        <x:v>新余市</x:v>
      </x:c>
      <x:c r="E198" t="str">
        <x:v>住房公积金</x:v>
      </x:c>
      <x:c r="F198" t="str">
        <x:v>贷款余额_亿元</x:v>
      </x:c>
      <x:c r="G198" s="16" t="n">
        <x:v>41.53</x:v>
      </x:c>
      <x:c r="H198" t="str">
        <x:v>亿元</x:v>
      </x:c>
      <x:c r="I198" t="str">
        <x:v>省级年度报告分市表</x:v>
      </x:c>
      <x:c r="J198" t="str">
        <x:v>2025年全年/年末</x:v>
      </x:c>
      <x:c r="K198" t="str">
        <x:v>https://jx.ifeng.com/c/8sk35lBJNwe</x:v>
      </x:c>
      <x:c r="L198" t="str">
        <x:v>地级市口径，不可直接分配给县级行政区</x:v>
      </x:c>
    </x:row>
    <x:row r="199" ht="21" customHeight="1">
      <x:c r="A199" t="n">
        <x:v>2025</x:v>
      </x:c>
      <x:c r="B199" t="str">
        <x:v>地级市</x:v>
      </x:c>
      <x:c r="C199" t="str">
        <x:v>新余市</x:v>
      </x:c>
      <x:c r="D199" t="str">
        <x:v>新余市</x:v>
      </x:c>
      <x:c r="E199" t="str">
        <x:v>住房公积金</x:v>
      </x:c>
      <x:c r="F199" t="str">
        <x:v>个贷率_%</x:v>
      </x:c>
      <x:c r="G199" s="16" t="n">
        <x:v>44.09</x:v>
      </x:c>
      <x:c r="H199" t="str">
        <x:v>%</x:v>
      </x:c>
      <x:c r="I199" t="str">
        <x:v>省级年度报告分市表</x:v>
      </x:c>
      <x:c r="J199" t="str">
        <x:v>2025年全年/年末</x:v>
      </x:c>
      <x:c r="K199" t="str">
        <x:v>https://jx.ifeng.com/c/8sk35lBJNwe</x:v>
      </x:c>
      <x:c r="L199" t="str">
        <x:v>地级市口径，不可直接分配给县级行政区</x:v>
      </x:c>
    </x:row>
    <x:row r="200" ht="21" customHeight="1">
      <x:c r="A200" t="n">
        <x:v>2025</x:v>
      </x:c>
      <x:c r="B200" t="str">
        <x:v>地级市</x:v>
      </x:c>
      <x:c r="C200" t="str">
        <x:v>鹰潭市</x:v>
      </x:c>
      <x:c r="D200" t="str">
        <x:v>鹰潭市</x:v>
      </x:c>
      <x:c r="E200" t="str">
        <x:v>住房公积金</x:v>
      </x:c>
      <x:c r="F200" t="str">
        <x:v>实缴单位_万家</x:v>
      </x:c>
      <x:c r="G200" s="16" t="n">
        <x:v>0.2</x:v>
      </x:c>
      <x:c r="H200" t="str">
        <x:v>万家</x:v>
      </x:c>
      <x:c r="I200" t="str">
        <x:v>省级年度报告分市表</x:v>
      </x:c>
      <x:c r="J200" t="str">
        <x:v>2025年全年/年末</x:v>
      </x:c>
      <x:c r="K200" t="str">
        <x:v>https://jx.ifeng.com/c/8sk35lBJNwe</x:v>
      </x:c>
      <x:c r="L200" t="str">
        <x:v>地级市口径，不可直接分配给县级行政区</x:v>
      </x:c>
    </x:row>
    <x:row r="201" ht="21" customHeight="1">
      <x:c r="A201" t="n">
        <x:v>2025</x:v>
      </x:c>
      <x:c r="B201" t="str">
        <x:v>地级市</x:v>
      </x:c>
      <x:c r="C201" t="str">
        <x:v>鹰潭市</x:v>
      </x:c>
      <x:c r="D201" t="str">
        <x:v>鹰潭市</x:v>
      </x:c>
      <x:c r="E201" t="str">
        <x:v>住房公积金</x:v>
      </x:c>
      <x:c r="F201" t="str">
        <x:v>实缴人数_万人</x:v>
      </x:c>
      <x:c r="G201" s="16" t="n">
        <x:v>8.09</x:v>
      </x:c>
      <x:c r="H201" t="str">
        <x:v>万人</x:v>
      </x:c>
      <x:c r="I201" t="str">
        <x:v>省级年度报告分市表</x:v>
      </x:c>
      <x:c r="J201" t="str">
        <x:v>2025年全年/年末</x:v>
      </x:c>
      <x:c r="K201" t="str">
        <x:v>https://jx.ifeng.com/c/8sk35lBJNwe</x:v>
      </x:c>
      <x:c r="L201" t="str">
        <x:v>地级市口径，不可直接分配给县级行政区</x:v>
      </x:c>
    </x:row>
    <x:row r="202" ht="21" customHeight="1">
      <x:c r="A202" t="n">
        <x:v>2025</x:v>
      </x:c>
      <x:c r="B202" t="str">
        <x:v>地级市</x:v>
      </x:c>
      <x:c r="C202" t="str">
        <x:v>鹰潭市</x:v>
      </x:c>
      <x:c r="D202" t="str">
        <x:v>鹰潭市</x:v>
      </x:c>
      <x:c r="E202" t="str">
        <x:v>住房公积金</x:v>
      </x:c>
      <x:c r="F202" t="str">
        <x:v>缴存额_亿元</x:v>
      </x:c>
      <x:c r="G202" s="16" t="n">
        <x:v>17.57</x:v>
      </x:c>
      <x:c r="H202" t="str">
        <x:v>亿元</x:v>
      </x:c>
      <x:c r="I202" t="str">
        <x:v>省级年度报告分市表</x:v>
      </x:c>
      <x:c r="J202" t="str">
        <x:v>2025年全年/年末</x:v>
      </x:c>
      <x:c r="K202" t="str">
        <x:v>https://jx.ifeng.com/c/8sk35lBJNwe</x:v>
      </x:c>
      <x:c r="L202" t="str">
        <x:v>地级市口径，不可直接分配给县级行政区</x:v>
      </x:c>
    </x:row>
    <x:row r="203" ht="21" customHeight="1">
      <x:c r="A203" t="n">
        <x:v>2025</x:v>
      </x:c>
      <x:c r="B203" t="str">
        <x:v>地级市</x:v>
      </x:c>
      <x:c r="C203" t="str">
        <x:v>鹰潭市</x:v>
      </x:c>
      <x:c r="D203" t="str">
        <x:v>鹰潭市</x:v>
      </x:c>
      <x:c r="E203" t="str">
        <x:v>住房公积金</x:v>
      </x:c>
      <x:c r="F203" t="str">
        <x:v>提取额_亿元</x:v>
      </x:c>
      <x:c r="G203" s="16" t="n">
        <x:v>12.48</x:v>
      </x:c>
      <x:c r="H203" t="str">
        <x:v>亿元</x:v>
      </x:c>
      <x:c r="I203" t="str">
        <x:v>省级年度报告分市表</x:v>
      </x:c>
      <x:c r="J203" t="str">
        <x:v>2025年全年/年末</x:v>
      </x:c>
      <x:c r="K203" t="str">
        <x:v>https://jx.ifeng.com/c/8sk35lBJNwe</x:v>
      </x:c>
      <x:c r="L203" t="str">
        <x:v>地级市口径，不可直接分配给县级行政区</x:v>
      </x:c>
    </x:row>
    <x:row r="204" ht="21" customHeight="1">
      <x:c r="A204" t="n">
        <x:v>2025</x:v>
      </x:c>
      <x:c r="B204" t="str">
        <x:v>地级市</x:v>
      </x:c>
      <x:c r="C204" t="str">
        <x:v>鹰潭市</x:v>
      </x:c>
      <x:c r="D204" t="str">
        <x:v>鹰潭市</x:v>
      </x:c>
      <x:c r="E204" t="str">
        <x:v>住房公积金</x:v>
      </x:c>
      <x:c r="F204" t="str">
        <x:v>提取率_%</x:v>
      </x:c>
      <x:c r="G204" s="16" t="n">
        <x:v>71.05</x:v>
      </x:c>
      <x:c r="H204" t="str">
        <x:v>%</x:v>
      </x:c>
      <x:c r="I204" t="str">
        <x:v>省级年度报告分市表</x:v>
      </x:c>
      <x:c r="J204" t="str">
        <x:v>2025年全年/年末</x:v>
      </x:c>
      <x:c r="K204" t="str">
        <x:v>https://jx.ifeng.com/c/8sk35lBJNwe</x:v>
      </x:c>
      <x:c r="L204" t="str">
        <x:v>地级市口径，不可直接分配给县级行政区</x:v>
      </x:c>
    </x:row>
    <x:row r="205" ht="21" customHeight="1">
      <x:c r="A205" t="n">
        <x:v>2025</x:v>
      </x:c>
      <x:c r="B205" t="str">
        <x:v>地级市</x:v>
      </x:c>
      <x:c r="C205" t="str">
        <x:v>鹰潭市</x:v>
      </x:c>
      <x:c r="D205" t="str">
        <x:v>鹰潭市</x:v>
      </x:c>
      <x:c r="E205" t="str">
        <x:v>住房公积金</x:v>
      </x:c>
      <x:c r="F205" t="str">
        <x:v>住房消费提取_亿元</x:v>
      </x:c>
      <x:c r="G205" s="16" t="n">
        <x:v>8.53</x:v>
      </x:c>
      <x:c r="H205" t="str">
        <x:v>亿元</x:v>
      </x:c>
      <x:c r="I205" t="str">
        <x:v>省级年度报告分市表</x:v>
      </x:c>
      <x:c r="J205" t="str">
        <x:v>2025年全年/年末</x:v>
      </x:c>
      <x:c r="K205" t="str">
        <x:v>https://jx.ifeng.com/c/8sk35lBJNwe</x:v>
      </x:c>
      <x:c r="L205" t="str">
        <x:v>地级市口径，不可直接分配给县级行政区</x:v>
      </x:c>
    </x:row>
    <x:row r="206" ht="21" customHeight="1">
      <x:c r="A206" t="n">
        <x:v>2025</x:v>
      </x:c>
      <x:c r="B206" t="str">
        <x:v>地级市</x:v>
      </x:c>
      <x:c r="C206" t="str">
        <x:v>鹰潭市</x:v>
      </x:c>
      <x:c r="D206" t="str">
        <x:v>鹰潭市</x:v>
      </x:c>
      <x:c r="E206" t="str">
        <x:v>住房公积金</x:v>
      </x:c>
      <x:c r="F206" t="str">
        <x:v>非住房消费提取_亿元</x:v>
      </x:c>
      <x:c r="G206" s="16" t="n">
        <x:v>3.95</x:v>
      </x:c>
      <x:c r="H206" t="str">
        <x:v>亿元</x:v>
      </x:c>
      <x:c r="I206" t="str">
        <x:v>省级年度报告分市表</x:v>
      </x:c>
      <x:c r="J206" t="str">
        <x:v>2025年全年/年末</x:v>
      </x:c>
      <x:c r="K206" t="str">
        <x:v>https://jx.ifeng.com/c/8sk35lBJNwe</x:v>
      </x:c>
      <x:c r="L206" t="str">
        <x:v>地级市口径，不可直接分配给县级行政区</x:v>
      </x:c>
    </x:row>
    <x:row r="207" ht="21" customHeight="1">
      <x:c r="A207" t="n">
        <x:v>2025</x:v>
      </x:c>
      <x:c r="B207" t="str">
        <x:v>地级市</x:v>
      </x:c>
      <x:c r="C207" t="str">
        <x:v>鹰潭市</x:v>
      </x:c>
      <x:c r="D207" t="str">
        <x:v>鹰潭市</x:v>
      </x:c>
      <x:c r="E207" t="str">
        <x:v>住房公积金</x:v>
      </x:c>
      <x:c r="F207" t="str">
        <x:v>个人住房贷款_万笔</x:v>
      </x:c>
      <x:c r="G207" s="16" t="n">
        <x:v>0.11</x:v>
      </x:c>
      <x:c r="H207" t="str">
        <x:v>万笔</x:v>
      </x:c>
      <x:c r="I207" t="str">
        <x:v>省级年度报告分市表</x:v>
      </x:c>
      <x:c r="J207" t="str">
        <x:v>2025年全年/年末</x:v>
      </x:c>
      <x:c r="K207" t="str">
        <x:v>https://jx.ifeng.com/c/8sk35lBJNwe</x:v>
      </x:c>
      <x:c r="L207" t="str">
        <x:v>地级市口径，不可直接分配给县级行政区</x:v>
      </x:c>
    </x:row>
    <x:row r="208" ht="21" customHeight="1">
      <x:c r="A208" t="n">
        <x:v>2025</x:v>
      </x:c>
      <x:c r="B208" t="str">
        <x:v>地级市</x:v>
      </x:c>
      <x:c r="C208" t="str">
        <x:v>鹰潭市</x:v>
      </x:c>
      <x:c r="D208" t="str">
        <x:v>鹰潭市</x:v>
      </x:c>
      <x:c r="E208" t="str">
        <x:v>住房公积金</x:v>
      </x:c>
      <x:c r="F208" t="str">
        <x:v>发放贷款_亿元</x:v>
      </x:c>
      <x:c r="G208" s="16" t="n">
        <x:v>4.9</x:v>
      </x:c>
      <x:c r="H208" t="str">
        <x:v>亿元</x:v>
      </x:c>
      <x:c r="I208" t="str">
        <x:v>省级年度报告分市表</x:v>
      </x:c>
      <x:c r="J208" t="str">
        <x:v>2025年全年/年末</x:v>
      </x:c>
      <x:c r="K208" t="str">
        <x:v>https://jx.ifeng.com/c/8sk35lBJNwe</x:v>
      </x:c>
      <x:c r="L208" t="str">
        <x:v>地级市口径，不可直接分配给县级行政区</x:v>
      </x:c>
    </x:row>
    <x:row r="209" ht="21" customHeight="1">
      <x:c r="A209" t="n">
        <x:v>2025</x:v>
      </x:c>
      <x:c r="B209" t="str">
        <x:v>地级市</x:v>
      </x:c>
      <x:c r="C209" t="str">
        <x:v>鹰潭市</x:v>
      </x:c>
      <x:c r="D209" t="str">
        <x:v>鹰潭市</x:v>
      </x:c>
      <x:c r="E209" t="str">
        <x:v>住房公积金</x:v>
      </x:c>
      <x:c r="F209" t="str">
        <x:v>贷款余额_亿元</x:v>
      </x:c>
      <x:c r="G209" s="16" t="n">
        <x:v>38.26</x:v>
      </x:c>
      <x:c r="H209" t="str">
        <x:v>亿元</x:v>
      </x:c>
      <x:c r="I209" t="str">
        <x:v>省级年度报告分市表</x:v>
      </x:c>
      <x:c r="J209" t="str">
        <x:v>2025年全年/年末</x:v>
      </x:c>
      <x:c r="K209" t="str">
        <x:v>https://jx.ifeng.com/c/8sk35lBJNwe</x:v>
      </x:c>
      <x:c r="L209" t="str">
        <x:v>地级市口径，不可直接分配给县级行政区</x:v>
      </x:c>
    </x:row>
    <x:row r="210" ht="21" customHeight="1">
      <x:c r="A210" t="n">
        <x:v>2025</x:v>
      </x:c>
      <x:c r="B210" t="str">
        <x:v>地级市</x:v>
      </x:c>
      <x:c r="C210" t="str">
        <x:v>鹰潭市</x:v>
      </x:c>
      <x:c r="D210" t="str">
        <x:v>鹰潭市</x:v>
      </x:c>
      <x:c r="E210" t="str">
        <x:v>住房公积金</x:v>
      </x:c>
      <x:c r="F210" t="str">
        <x:v>个贷率_%</x:v>
      </x:c>
      <x:c r="G210" s="16" t="n">
        <x:v>58.69</x:v>
      </x:c>
      <x:c r="H210" t="str">
        <x:v>%</x:v>
      </x:c>
      <x:c r="I210" t="str">
        <x:v>省级年度报告分市表</x:v>
      </x:c>
      <x:c r="J210" t="str">
        <x:v>2025年全年/年末</x:v>
      </x:c>
      <x:c r="K210" t="str">
        <x:v>https://jx.ifeng.com/c/8sk35lBJNwe</x:v>
      </x:c>
      <x:c r="L210" t="str">
        <x:v>地级市口径，不可直接分配给县级行政区</x:v>
      </x:c>
    </x:row>
    <x:row r="211" ht="21" customHeight="1">
      <x:c r="A211" t="n">
        <x:v>2025</x:v>
      </x:c>
      <x:c r="B211" t="str">
        <x:v>地级市</x:v>
      </x:c>
      <x:c r="C211" t="str">
        <x:v>赣州市</x:v>
      </x:c>
      <x:c r="D211" t="str">
        <x:v>赣州市</x:v>
      </x:c>
      <x:c r="E211" t="str">
        <x:v>住房公积金</x:v>
      </x:c>
      <x:c r="F211" t="str">
        <x:v>实缴单位_万家</x:v>
      </x:c>
      <x:c r="G211" s="16" t="n">
        <x:v>1.58</x:v>
      </x:c>
      <x:c r="H211" t="str">
        <x:v>万家</x:v>
      </x:c>
      <x:c r="I211" t="str">
        <x:v>省级年度报告分市表</x:v>
      </x:c>
      <x:c r="J211" t="str">
        <x:v>2025年全年/年末</x:v>
      </x:c>
      <x:c r="K211" t="str">
        <x:v>https://jx.ifeng.com/c/8sk35lBJNwe</x:v>
      </x:c>
      <x:c r="L211" t="str">
        <x:v>地级市口径，不可直接分配给县级行政区</x:v>
      </x:c>
    </x:row>
    <x:row r="212" ht="21" customHeight="1">
      <x:c r="A212" t="n">
        <x:v>2025</x:v>
      </x:c>
      <x:c r="B212" t="str">
        <x:v>地级市</x:v>
      </x:c>
      <x:c r="C212" t="str">
        <x:v>赣州市</x:v>
      </x:c>
      <x:c r="D212" t="str">
        <x:v>赣州市</x:v>
      </x:c>
      <x:c r="E212" t="str">
        <x:v>住房公积金</x:v>
      </x:c>
      <x:c r="F212" t="str">
        <x:v>实缴人数_万人</x:v>
      </x:c>
      <x:c r="G212" s="16" t="n">
        <x:v>60.66</x:v>
      </x:c>
      <x:c r="H212" t="str">
        <x:v>万人</x:v>
      </x:c>
      <x:c r="I212" t="str">
        <x:v>省级年度报告分市表</x:v>
      </x:c>
      <x:c r="J212" t="str">
        <x:v>2025年全年/年末</x:v>
      </x:c>
      <x:c r="K212" t="str">
        <x:v>https://jx.ifeng.com/c/8sk35lBJNwe</x:v>
      </x:c>
      <x:c r="L212" t="str">
        <x:v>地级市口径，不可直接分配给县级行政区</x:v>
      </x:c>
    </x:row>
    <x:row r="213" ht="21" customHeight="1">
      <x:c r="A213" t="n">
        <x:v>2025</x:v>
      </x:c>
      <x:c r="B213" t="str">
        <x:v>地级市</x:v>
      </x:c>
      <x:c r="C213" t="str">
        <x:v>赣州市</x:v>
      </x:c>
      <x:c r="D213" t="str">
        <x:v>赣州市</x:v>
      </x:c>
      <x:c r="E213" t="str">
        <x:v>住房公积金</x:v>
      </x:c>
      <x:c r="F213" t="str">
        <x:v>缴存额_亿元</x:v>
      </x:c>
      <x:c r="G213" s="16" t="n">
        <x:v>105.68</x:v>
      </x:c>
      <x:c r="H213" t="str">
        <x:v>亿元</x:v>
      </x:c>
      <x:c r="I213" t="str">
        <x:v>省级年度报告分市表</x:v>
      </x:c>
      <x:c r="J213" t="str">
        <x:v>2025年全年/年末</x:v>
      </x:c>
      <x:c r="K213" t="str">
        <x:v>https://jx.ifeng.com/c/8sk35lBJNwe</x:v>
      </x:c>
      <x:c r="L213" t="str">
        <x:v>地级市口径，不可直接分配给县级行政区</x:v>
      </x:c>
    </x:row>
    <x:row r="214" ht="21" customHeight="1">
      <x:c r="A214" t="n">
        <x:v>2025</x:v>
      </x:c>
      <x:c r="B214" t="str">
        <x:v>地级市</x:v>
      </x:c>
      <x:c r="C214" t="str">
        <x:v>赣州市</x:v>
      </x:c>
      <x:c r="D214" t="str">
        <x:v>赣州市</x:v>
      </x:c>
      <x:c r="E214" t="str">
        <x:v>住房公积金</x:v>
      </x:c>
      <x:c r="F214" t="str">
        <x:v>提取额_亿元</x:v>
      </x:c>
      <x:c r="G214" s="16" t="n">
        <x:v>75.09</x:v>
      </x:c>
      <x:c r="H214" t="str">
        <x:v>亿元</x:v>
      </x:c>
      <x:c r="I214" t="str">
        <x:v>省级年度报告分市表</x:v>
      </x:c>
      <x:c r="J214" t="str">
        <x:v>2025年全年/年末</x:v>
      </x:c>
      <x:c r="K214" t="str">
        <x:v>https://jx.ifeng.com/c/8sk35lBJNwe</x:v>
      </x:c>
      <x:c r="L214" t="str">
        <x:v>地级市口径，不可直接分配给县级行政区</x:v>
      </x:c>
    </x:row>
    <x:row r="215" ht="21" customHeight="1">
      <x:c r="A215" t="n">
        <x:v>2025</x:v>
      </x:c>
      <x:c r="B215" t="str">
        <x:v>地级市</x:v>
      </x:c>
      <x:c r="C215" t="str">
        <x:v>赣州市</x:v>
      </x:c>
      <x:c r="D215" t="str">
        <x:v>赣州市</x:v>
      </x:c>
      <x:c r="E215" t="str">
        <x:v>住房公积金</x:v>
      </x:c>
      <x:c r="F215" t="str">
        <x:v>提取率_%</x:v>
      </x:c>
      <x:c r="G215" s="16" t="n">
        <x:v>71.05</x:v>
      </x:c>
      <x:c r="H215" t="str">
        <x:v>%</x:v>
      </x:c>
      <x:c r="I215" t="str">
        <x:v>省级年度报告分市表</x:v>
      </x:c>
      <x:c r="J215" t="str">
        <x:v>2025年全年/年末</x:v>
      </x:c>
      <x:c r="K215" t="str">
        <x:v>https://jx.ifeng.com/c/8sk35lBJNwe</x:v>
      </x:c>
      <x:c r="L215" t="str">
        <x:v>地级市口径，不可直接分配给县级行政区</x:v>
      </x:c>
    </x:row>
    <x:row r="216" ht="21" customHeight="1">
      <x:c r="A216" t="n">
        <x:v>2025</x:v>
      </x:c>
      <x:c r="B216" t="str">
        <x:v>地级市</x:v>
      </x:c>
      <x:c r="C216" t="str">
        <x:v>赣州市</x:v>
      </x:c>
      <x:c r="D216" t="str">
        <x:v>赣州市</x:v>
      </x:c>
      <x:c r="E216" t="str">
        <x:v>住房公积金</x:v>
      </x:c>
      <x:c r="F216" t="str">
        <x:v>住房消费提取_亿元</x:v>
      </x:c>
      <x:c r="G216" s="16" t="n">
        <x:v>57.7</x:v>
      </x:c>
      <x:c r="H216" t="str">
        <x:v>亿元</x:v>
      </x:c>
      <x:c r="I216" t="str">
        <x:v>省级年度报告分市表</x:v>
      </x:c>
      <x:c r="J216" t="str">
        <x:v>2025年全年/年末</x:v>
      </x:c>
      <x:c r="K216" t="str">
        <x:v>https://jx.ifeng.com/c/8sk35lBJNwe</x:v>
      </x:c>
      <x:c r="L216" t="str">
        <x:v>地级市口径，不可直接分配给县级行政区</x:v>
      </x:c>
    </x:row>
    <x:row r="217" ht="21" customHeight="1">
      <x:c r="A217" t="n">
        <x:v>2025</x:v>
      </x:c>
      <x:c r="B217" t="str">
        <x:v>地级市</x:v>
      </x:c>
      <x:c r="C217" t="str">
        <x:v>赣州市</x:v>
      </x:c>
      <x:c r="D217" t="str">
        <x:v>赣州市</x:v>
      </x:c>
      <x:c r="E217" t="str">
        <x:v>住房公积金</x:v>
      </x:c>
      <x:c r="F217" t="str">
        <x:v>非住房消费提取_亿元</x:v>
      </x:c>
      <x:c r="G217" s="16" t="n">
        <x:v>17.39</x:v>
      </x:c>
      <x:c r="H217" t="str">
        <x:v>亿元</x:v>
      </x:c>
      <x:c r="I217" t="str">
        <x:v>省级年度报告分市表</x:v>
      </x:c>
      <x:c r="J217" t="str">
        <x:v>2025年全年/年末</x:v>
      </x:c>
      <x:c r="K217" t="str">
        <x:v>https://jx.ifeng.com/c/8sk35lBJNwe</x:v>
      </x:c>
      <x:c r="L217" t="str">
        <x:v>地级市口径，不可直接分配给县级行政区</x:v>
      </x:c>
    </x:row>
    <x:row r="218" ht="21" customHeight="1">
      <x:c r="A218" t="n">
        <x:v>2025</x:v>
      </x:c>
      <x:c r="B218" t="str">
        <x:v>地级市</x:v>
      </x:c>
      <x:c r="C218" t="str">
        <x:v>赣州市</x:v>
      </x:c>
      <x:c r="D218" t="str">
        <x:v>赣州市</x:v>
      </x:c>
      <x:c r="E218" t="str">
        <x:v>住房公积金</x:v>
      </x:c>
      <x:c r="F218" t="str">
        <x:v>个人住房贷款_万笔</x:v>
      </x:c>
      <x:c r="G218" s="16" t="n">
        <x:v>1.23</x:v>
      </x:c>
      <x:c r="H218" t="str">
        <x:v>万笔</x:v>
      </x:c>
      <x:c r="I218" t="str">
        <x:v>省级年度报告分市表</x:v>
      </x:c>
      <x:c r="J218" t="str">
        <x:v>2025年全年/年末</x:v>
      </x:c>
      <x:c r="K218" t="str">
        <x:v>https://jx.ifeng.com/c/8sk35lBJNwe</x:v>
      </x:c>
      <x:c r="L218" t="str">
        <x:v>地级市口径，不可直接分配给县级行政区</x:v>
      </x:c>
    </x:row>
    <x:row r="219" ht="21" customHeight="1">
      <x:c r="A219" t="n">
        <x:v>2025</x:v>
      </x:c>
      <x:c r="B219" t="str">
        <x:v>地级市</x:v>
      </x:c>
      <x:c r="C219" t="str">
        <x:v>赣州市</x:v>
      </x:c>
      <x:c r="D219" t="str">
        <x:v>赣州市</x:v>
      </x:c>
      <x:c r="E219" t="str">
        <x:v>住房公积金</x:v>
      </x:c>
      <x:c r="F219" t="str">
        <x:v>发放贷款_亿元</x:v>
      </x:c>
      <x:c r="G219" s="16" t="n">
        <x:v>65.94</x:v>
      </x:c>
      <x:c r="H219" t="str">
        <x:v>亿元</x:v>
      </x:c>
      <x:c r="I219" t="str">
        <x:v>省级年度报告分市表</x:v>
      </x:c>
      <x:c r="J219" t="str">
        <x:v>2025年全年/年末</x:v>
      </x:c>
      <x:c r="K219" t="str">
        <x:v>https://jx.ifeng.com/c/8sk35lBJNwe</x:v>
      </x:c>
      <x:c r="L219" t="str">
        <x:v>地级市口径，不可直接分配给县级行政区</x:v>
      </x:c>
    </x:row>
    <x:row r="220" ht="21" customHeight="1">
      <x:c r="A220" t="n">
        <x:v>2025</x:v>
      </x:c>
      <x:c r="B220" t="str">
        <x:v>地级市</x:v>
      </x:c>
      <x:c r="C220" t="str">
        <x:v>赣州市</x:v>
      </x:c>
      <x:c r="D220" t="str">
        <x:v>赣州市</x:v>
      </x:c>
      <x:c r="E220" t="str">
        <x:v>住房公积金</x:v>
      </x:c>
      <x:c r="F220" t="str">
        <x:v>贷款余额_亿元</x:v>
      </x:c>
      <x:c r="G220" s="16" t="n">
        <x:v>328.95</x:v>
      </x:c>
      <x:c r="H220" t="str">
        <x:v>亿元</x:v>
      </x:c>
      <x:c r="I220" t="str">
        <x:v>省级年度报告分市表</x:v>
      </x:c>
      <x:c r="J220" t="str">
        <x:v>2025年全年/年末</x:v>
      </x:c>
      <x:c r="K220" t="str">
        <x:v>https://jx.ifeng.com/c/8sk35lBJNwe</x:v>
      </x:c>
      <x:c r="L220" t="str">
        <x:v>地级市口径，不可直接分配给县级行政区</x:v>
      </x:c>
    </x:row>
    <x:row r="221" ht="21" customHeight="1">
      <x:c r="A221" t="n">
        <x:v>2025</x:v>
      </x:c>
      <x:c r="B221" t="str">
        <x:v>地级市</x:v>
      </x:c>
      <x:c r="C221" t="str">
        <x:v>赣州市</x:v>
      </x:c>
      <x:c r="D221" t="str">
        <x:v>赣州市</x:v>
      </x:c>
      <x:c r="E221" t="str">
        <x:v>住房公积金</x:v>
      </x:c>
      <x:c r="F221" t="str">
        <x:v>个贷率_%</x:v>
      </x:c>
      <x:c r="G221" s="16" t="n">
        <x:v>87.2</x:v>
      </x:c>
      <x:c r="H221" t="str">
        <x:v>%</x:v>
      </x:c>
      <x:c r="I221" t="str">
        <x:v>省级年度报告分市表</x:v>
      </x:c>
      <x:c r="J221" t="str">
        <x:v>2025年全年/年末</x:v>
      </x:c>
      <x:c r="K221" t="str">
        <x:v>https://jx.ifeng.com/c/8sk35lBJNwe</x:v>
      </x:c>
      <x:c r="L221" t="str">
        <x:v>地级市口径，不可直接分配给县级行政区</x:v>
      </x:c>
    </x:row>
    <x:row r="222" ht="21" customHeight="1">
      <x:c r="A222" t="n">
        <x:v>2025</x:v>
      </x:c>
      <x:c r="B222" t="str">
        <x:v>地级市</x:v>
      </x:c>
      <x:c r="C222" t="str">
        <x:v>吉安市</x:v>
      </x:c>
      <x:c r="D222" t="str">
        <x:v>吉安市</x:v>
      </x:c>
      <x:c r="E222" t="str">
        <x:v>住房公积金</x:v>
      </x:c>
      <x:c r="F222" t="str">
        <x:v>实缴单位_万家</x:v>
      </x:c>
      <x:c r="G222" s="16" t="n">
        <x:v>0.64</x:v>
      </x:c>
      <x:c r="H222" t="str">
        <x:v>万家</x:v>
      </x:c>
      <x:c r="I222" t="str">
        <x:v>省级年度报告分市表</x:v>
      </x:c>
      <x:c r="J222" t="str">
        <x:v>2025年全年/年末</x:v>
      </x:c>
      <x:c r="K222" t="str">
        <x:v>https://jx.ifeng.com/c/8sk35lBJNwe</x:v>
      </x:c>
      <x:c r="L222" t="str">
        <x:v>地级市口径，不可直接分配给县级行政区</x:v>
      </x:c>
    </x:row>
    <x:row r="223" ht="21" customHeight="1">
      <x:c r="A223" t="n">
        <x:v>2025</x:v>
      </x:c>
      <x:c r="B223" t="str">
        <x:v>地级市</x:v>
      </x:c>
      <x:c r="C223" t="str">
        <x:v>吉安市</x:v>
      </x:c>
      <x:c r="D223" t="str">
        <x:v>吉安市</x:v>
      </x:c>
      <x:c r="E223" t="str">
        <x:v>住房公积金</x:v>
      </x:c>
      <x:c r="F223" t="str">
        <x:v>实缴人数_万人</x:v>
      </x:c>
      <x:c r="G223" s="16" t="n">
        <x:v>29.29</x:v>
      </x:c>
      <x:c r="H223" t="str">
        <x:v>万人</x:v>
      </x:c>
      <x:c r="I223" t="str">
        <x:v>省级年度报告分市表</x:v>
      </x:c>
      <x:c r="J223" t="str">
        <x:v>2025年全年/年末</x:v>
      </x:c>
      <x:c r="K223" t="str">
        <x:v>https://jx.ifeng.com/c/8sk35lBJNwe</x:v>
      </x:c>
      <x:c r="L223" t="str">
        <x:v>地级市口径，不可直接分配给县级行政区</x:v>
      </x:c>
    </x:row>
    <x:row r="224" ht="21" customHeight="1">
      <x:c r="A224" t="n">
        <x:v>2025</x:v>
      </x:c>
      <x:c r="B224" t="str">
        <x:v>地级市</x:v>
      </x:c>
      <x:c r="C224" t="str">
        <x:v>吉安市</x:v>
      </x:c>
      <x:c r="D224" t="str">
        <x:v>吉安市</x:v>
      </x:c>
      <x:c r="E224" t="str">
        <x:v>住房公积金</x:v>
      </x:c>
      <x:c r="F224" t="str">
        <x:v>缴存额_亿元</x:v>
      </x:c>
      <x:c r="G224" s="16" t="n">
        <x:v>55.28</x:v>
      </x:c>
      <x:c r="H224" t="str">
        <x:v>亿元</x:v>
      </x:c>
      <x:c r="I224" t="str">
        <x:v>省级年度报告分市表</x:v>
      </x:c>
      <x:c r="J224" t="str">
        <x:v>2025年全年/年末</x:v>
      </x:c>
      <x:c r="K224" t="str">
        <x:v>https://jx.ifeng.com/c/8sk35lBJNwe</x:v>
      </x:c>
      <x:c r="L224" t="str">
        <x:v>地级市口径，不可直接分配给县级行政区</x:v>
      </x:c>
    </x:row>
    <x:row r="225" ht="21" customHeight="1">
      <x:c r="A225" t="n">
        <x:v>2025</x:v>
      </x:c>
      <x:c r="B225" t="str">
        <x:v>地级市</x:v>
      </x:c>
      <x:c r="C225" t="str">
        <x:v>吉安市</x:v>
      </x:c>
      <x:c r="D225" t="str">
        <x:v>吉安市</x:v>
      </x:c>
      <x:c r="E225" t="str">
        <x:v>住房公积金</x:v>
      </x:c>
      <x:c r="F225" t="str">
        <x:v>提取额_亿元</x:v>
      </x:c>
      <x:c r="G225" s="16" t="n">
        <x:v>38.12</x:v>
      </x:c>
      <x:c r="H225" t="str">
        <x:v>亿元</x:v>
      </x:c>
      <x:c r="I225" t="str">
        <x:v>省级年度报告分市表</x:v>
      </x:c>
      <x:c r="J225" t="str">
        <x:v>2025年全年/年末</x:v>
      </x:c>
      <x:c r="K225" t="str">
        <x:v>https://jx.ifeng.com/c/8sk35lBJNwe</x:v>
      </x:c>
      <x:c r="L225" t="str">
        <x:v>地级市口径，不可直接分配给县级行政区</x:v>
      </x:c>
    </x:row>
    <x:row r="226" ht="21" customHeight="1">
      <x:c r="A226" t="n">
        <x:v>2025</x:v>
      </x:c>
      <x:c r="B226" t="str">
        <x:v>地级市</x:v>
      </x:c>
      <x:c r="C226" t="str">
        <x:v>吉安市</x:v>
      </x:c>
      <x:c r="D226" t="str">
        <x:v>吉安市</x:v>
      </x:c>
      <x:c r="E226" t="str">
        <x:v>住房公积金</x:v>
      </x:c>
      <x:c r="F226" t="str">
        <x:v>提取率_%</x:v>
      </x:c>
      <x:c r="G226" s="16" t="n">
        <x:v>68.97</x:v>
      </x:c>
      <x:c r="H226" t="str">
        <x:v>%</x:v>
      </x:c>
      <x:c r="I226" t="str">
        <x:v>省级年度报告分市表</x:v>
      </x:c>
      <x:c r="J226" t="str">
        <x:v>2025年全年/年末</x:v>
      </x:c>
      <x:c r="K226" t="str">
        <x:v>https://jx.ifeng.com/c/8sk35lBJNwe</x:v>
      </x:c>
      <x:c r="L226" t="str">
        <x:v>地级市口径，不可直接分配给县级行政区</x:v>
      </x:c>
    </x:row>
    <x:row r="227" ht="21" customHeight="1">
      <x:c r="A227" t="n">
        <x:v>2025</x:v>
      </x:c>
      <x:c r="B227" t="str">
        <x:v>地级市</x:v>
      </x:c>
      <x:c r="C227" t="str">
        <x:v>吉安市</x:v>
      </x:c>
      <x:c r="D227" t="str">
        <x:v>吉安市</x:v>
      </x:c>
      <x:c r="E227" t="str">
        <x:v>住房公积金</x:v>
      </x:c>
      <x:c r="F227" t="str">
        <x:v>住房消费提取_亿元</x:v>
      </x:c>
      <x:c r="G227" s="16" t="n">
        <x:v>26.9</x:v>
      </x:c>
      <x:c r="H227" t="str">
        <x:v>亿元</x:v>
      </x:c>
      <x:c r="I227" t="str">
        <x:v>省级年度报告分市表</x:v>
      </x:c>
      <x:c r="J227" t="str">
        <x:v>2025年全年/年末</x:v>
      </x:c>
      <x:c r="K227" t="str">
        <x:v>https://jx.ifeng.com/c/8sk35lBJNwe</x:v>
      </x:c>
      <x:c r="L227" t="str">
        <x:v>地级市口径，不可直接分配给县级行政区</x:v>
      </x:c>
    </x:row>
    <x:row r="228" ht="21" customHeight="1">
      <x:c r="A228" t="n">
        <x:v>2025</x:v>
      </x:c>
      <x:c r="B228" t="str">
        <x:v>地级市</x:v>
      </x:c>
      <x:c r="C228" t="str">
        <x:v>吉安市</x:v>
      </x:c>
      <x:c r="D228" t="str">
        <x:v>吉安市</x:v>
      </x:c>
      <x:c r="E228" t="str">
        <x:v>住房公积金</x:v>
      </x:c>
      <x:c r="F228" t="str">
        <x:v>非住房消费提取_亿元</x:v>
      </x:c>
      <x:c r="G228" s="16" t="n">
        <x:v>11.23</x:v>
      </x:c>
      <x:c r="H228" t="str">
        <x:v>亿元</x:v>
      </x:c>
      <x:c r="I228" t="str">
        <x:v>省级年度报告分市表</x:v>
      </x:c>
      <x:c r="J228" t="str">
        <x:v>2025年全年/年末</x:v>
      </x:c>
      <x:c r="K228" t="str">
        <x:v>https://jx.ifeng.com/c/8sk35lBJNwe</x:v>
      </x:c>
      <x:c r="L228" t="str">
        <x:v>地级市口径，不可直接分配给县级行政区</x:v>
      </x:c>
    </x:row>
    <x:row r="229" ht="21" customHeight="1">
      <x:c r="A229" t="n">
        <x:v>2025</x:v>
      </x:c>
      <x:c r="B229" t="str">
        <x:v>地级市</x:v>
      </x:c>
      <x:c r="C229" t="str">
        <x:v>吉安市</x:v>
      </x:c>
      <x:c r="D229" t="str">
        <x:v>吉安市</x:v>
      </x:c>
      <x:c r="E229" t="str">
        <x:v>住房公积金</x:v>
      </x:c>
      <x:c r="F229" t="str">
        <x:v>个人住房贷款_万笔</x:v>
      </x:c>
      <x:c r="G229" s="16" t="n">
        <x:v>0.5</x:v>
      </x:c>
      <x:c r="H229" t="str">
        <x:v>万笔</x:v>
      </x:c>
      <x:c r="I229" t="str">
        <x:v>省级年度报告分市表</x:v>
      </x:c>
      <x:c r="J229" t="str">
        <x:v>2025年全年/年末</x:v>
      </x:c>
      <x:c r="K229" t="str">
        <x:v>https://jx.ifeng.com/c/8sk35lBJNwe</x:v>
      </x:c>
      <x:c r="L229" t="str">
        <x:v>地级市口径，不可直接分配给县级行政区</x:v>
      </x:c>
    </x:row>
    <x:row r="230" ht="21" customHeight="1">
      <x:c r="A230" t="n">
        <x:v>2025</x:v>
      </x:c>
      <x:c r="B230" t="str">
        <x:v>地级市</x:v>
      </x:c>
      <x:c r="C230" t="str">
        <x:v>吉安市</x:v>
      </x:c>
      <x:c r="D230" t="str">
        <x:v>吉安市</x:v>
      </x:c>
      <x:c r="E230" t="str">
        <x:v>住房公积金</x:v>
      </x:c>
      <x:c r="F230" t="str">
        <x:v>发放贷款_亿元</x:v>
      </x:c>
      <x:c r="G230" s="16" t="n">
        <x:v>23.76</x:v>
      </x:c>
      <x:c r="H230" t="str">
        <x:v>亿元</x:v>
      </x:c>
      <x:c r="I230" t="str">
        <x:v>省级年度报告分市表</x:v>
      </x:c>
      <x:c r="J230" t="str">
        <x:v>2025年全年/年末</x:v>
      </x:c>
      <x:c r="K230" t="str">
        <x:v>https://jx.ifeng.com/c/8sk35lBJNwe</x:v>
      </x:c>
      <x:c r="L230" t="str">
        <x:v>地级市口径，不可直接分配给县级行政区</x:v>
      </x:c>
    </x:row>
    <x:row r="231" ht="21" customHeight="1">
      <x:c r="A231" t="n">
        <x:v>2025</x:v>
      </x:c>
      <x:c r="B231" t="str">
        <x:v>地级市</x:v>
      </x:c>
      <x:c r="C231" t="str">
        <x:v>吉安市</x:v>
      </x:c>
      <x:c r="D231" t="str">
        <x:v>吉安市</x:v>
      </x:c>
      <x:c r="E231" t="str">
        <x:v>住房公积金</x:v>
      </x:c>
      <x:c r="F231" t="str">
        <x:v>贷款余额_亿元</x:v>
      </x:c>
      <x:c r="G231" s="16" t="n">
        <x:v>159.41</x:v>
      </x:c>
      <x:c r="H231" t="str">
        <x:v>亿元</x:v>
      </x:c>
      <x:c r="I231" t="str">
        <x:v>省级年度报告分市表</x:v>
      </x:c>
      <x:c r="J231" t="str">
        <x:v>2025年全年/年末</x:v>
      </x:c>
      <x:c r="K231" t="str">
        <x:v>https://jx.ifeng.com/c/8sk35lBJNwe</x:v>
      </x:c>
      <x:c r="L231" t="str">
        <x:v>地级市口径，不可直接分配给县级行政区</x:v>
      </x:c>
    </x:row>
    <x:row r="232" ht="21" customHeight="1">
      <x:c r="A232" t="n">
        <x:v>2025</x:v>
      </x:c>
      <x:c r="B232" t="str">
        <x:v>地级市</x:v>
      </x:c>
      <x:c r="C232" t="str">
        <x:v>吉安市</x:v>
      </x:c>
      <x:c r="D232" t="str">
        <x:v>吉安市</x:v>
      </x:c>
      <x:c r="E232" t="str">
        <x:v>住房公积金</x:v>
      </x:c>
      <x:c r="F232" t="str">
        <x:v>个贷率_%</x:v>
      </x:c>
      <x:c r="G232" s="16" t="n">
        <x:v>74.74</x:v>
      </x:c>
      <x:c r="H232" t="str">
        <x:v>%</x:v>
      </x:c>
      <x:c r="I232" t="str">
        <x:v>省级年度报告分市表</x:v>
      </x:c>
      <x:c r="J232" t="str">
        <x:v>2025年全年/年末</x:v>
      </x:c>
      <x:c r="K232" t="str">
        <x:v>https://jx.ifeng.com/c/8sk35lBJNwe</x:v>
      </x:c>
      <x:c r="L232" t="str">
        <x:v>地级市口径，不可直接分配给县级行政区</x:v>
      </x:c>
    </x:row>
    <x:row r="233" ht="21" customHeight="1">
      <x:c r="A233" t="n">
        <x:v>2025</x:v>
      </x:c>
      <x:c r="B233" t="str">
        <x:v>地级市</x:v>
      </x:c>
      <x:c r="C233" t="str">
        <x:v>宜春市</x:v>
      </x:c>
      <x:c r="D233" t="str">
        <x:v>宜春市</x:v>
      </x:c>
      <x:c r="E233" t="str">
        <x:v>住房公积金</x:v>
      </x:c>
      <x:c r="F233" t="str">
        <x:v>实缴单位_万家</x:v>
      </x:c>
      <x:c r="G233" s="16" t="n">
        <x:v>0.58</x:v>
      </x:c>
      <x:c r="H233" t="str">
        <x:v>万家</x:v>
      </x:c>
      <x:c r="I233" t="str">
        <x:v>省级年度报告分市表</x:v>
      </x:c>
      <x:c r="J233" t="str">
        <x:v>2025年全年/年末</x:v>
      </x:c>
      <x:c r="K233" t="str">
        <x:v>https://jx.ifeng.com/c/8sk35lBJNwe</x:v>
      </x:c>
      <x:c r="L233" t="str">
        <x:v>地级市口径，不可直接分配给县级行政区</x:v>
      </x:c>
    </x:row>
    <x:row r="234" ht="21" customHeight="1">
      <x:c r="A234" t="n">
        <x:v>2025</x:v>
      </x:c>
      <x:c r="B234" t="str">
        <x:v>地级市</x:v>
      </x:c>
      <x:c r="C234" t="str">
        <x:v>宜春市</x:v>
      </x:c>
      <x:c r="D234" t="str">
        <x:v>宜春市</x:v>
      </x:c>
      <x:c r="E234" t="str">
        <x:v>住房公积金</x:v>
      </x:c>
      <x:c r="F234" t="str">
        <x:v>实缴人数_万人</x:v>
      </x:c>
      <x:c r="G234" s="16" t="n">
        <x:v>31.49</x:v>
      </x:c>
      <x:c r="H234" t="str">
        <x:v>万人</x:v>
      </x:c>
      <x:c r="I234" t="str">
        <x:v>省级年度报告分市表</x:v>
      </x:c>
      <x:c r="J234" t="str">
        <x:v>2025年全年/年末</x:v>
      </x:c>
      <x:c r="K234" t="str">
        <x:v>https://jx.ifeng.com/c/8sk35lBJNwe</x:v>
      </x:c>
      <x:c r="L234" t="str">
        <x:v>地级市口径，不可直接分配给县级行政区</x:v>
      </x:c>
    </x:row>
    <x:row r="235" ht="21" customHeight="1">
      <x:c r="A235" t="n">
        <x:v>2025</x:v>
      </x:c>
      <x:c r="B235" t="str">
        <x:v>地级市</x:v>
      </x:c>
      <x:c r="C235" t="str">
        <x:v>宜春市</x:v>
      </x:c>
      <x:c r="D235" t="str">
        <x:v>宜春市</x:v>
      </x:c>
      <x:c r="E235" t="str">
        <x:v>住房公积金</x:v>
      </x:c>
      <x:c r="F235" t="str">
        <x:v>缴存额_亿元</x:v>
      </x:c>
      <x:c r="G235" s="16" t="n">
        <x:v>56.66</x:v>
      </x:c>
      <x:c r="H235" t="str">
        <x:v>亿元</x:v>
      </x:c>
      <x:c r="I235" t="str">
        <x:v>省级年度报告分市表</x:v>
      </x:c>
      <x:c r="J235" t="str">
        <x:v>2025年全年/年末</x:v>
      </x:c>
      <x:c r="K235" t="str">
        <x:v>https://jx.ifeng.com/c/8sk35lBJNwe</x:v>
      </x:c>
      <x:c r="L235" t="str">
        <x:v>地级市口径，不可直接分配给县级行政区</x:v>
      </x:c>
    </x:row>
    <x:row r="236" ht="21" customHeight="1">
      <x:c r="A236" t="n">
        <x:v>2025</x:v>
      </x:c>
      <x:c r="B236" t="str">
        <x:v>地级市</x:v>
      </x:c>
      <x:c r="C236" t="str">
        <x:v>宜春市</x:v>
      </x:c>
      <x:c r="D236" t="str">
        <x:v>宜春市</x:v>
      </x:c>
      <x:c r="E236" t="str">
        <x:v>住房公积金</x:v>
      </x:c>
      <x:c r="F236" t="str">
        <x:v>提取额_亿元</x:v>
      </x:c>
      <x:c r="G236" s="16" t="n">
        <x:v>38.57</x:v>
      </x:c>
      <x:c r="H236" t="str">
        <x:v>亿元</x:v>
      </x:c>
      <x:c r="I236" t="str">
        <x:v>省级年度报告分市表</x:v>
      </x:c>
      <x:c r="J236" t="str">
        <x:v>2025年全年/年末</x:v>
      </x:c>
      <x:c r="K236" t="str">
        <x:v>https://jx.ifeng.com/c/8sk35lBJNwe</x:v>
      </x:c>
      <x:c r="L236" t="str">
        <x:v>地级市口径，不可直接分配给县级行政区</x:v>
      </x:c>
    </x:row>
    <x:row r="237" ht="21" customHeight="1">
      <x:c r="A237" t="n">
        <x:v>2025</x:v>
      </x:c>
      <x:c r="B237" t="str">
        <x:v>地级市</x:v>
      </x:c>
      <x:c r="C237" t="str">
        <x:v>宜春市</x:v>
      </x:c>
      <x:c r="D237" t="str">
        <x:v>宜春市</x:v>
      </x:c>
      <x:c r="E237" t="str">
        <x:v>住房公积金</x:v>
      </x:c>
      <x:c r="F237" t="str">
        <x:v>提取率_%</x:v>
      </x:c>
      <x:c r="G237" s="16" t="n">
        <x:v>68.08</x:v>
      </x:c>
      <x:c r="H237" t="str">
        <x:v>%</x:v>
      </x:c>
      <x:c r="I237" t="str">
        <x:v>省级年度报告分市表</x:v>
      </x:c>
      <x:c r="J237" t="str">
        <x:v>2025年全年/年末</x:v>
      </x:c>
      <x:c r="K237" t="str">
        <x:v>https://jx.ifeng.com/c/8sk35lBJNwe</x:v>
      </x:c>
      <x:c r="L237" t="str">
        <x:v>地级市口径，不可直接分配给县级行政区</x:v>
      </x:c>
    </x:row>
    <x:row r="238" ht="21" customHeight="1">
      <x:c r="A238" t="n">
        <x:v>2025</x:v>
      </x:c>
      <x:c r="B238" t="str">
        <x:v>地级市</x:v>
      </x:c>
      <x:c r="C238" t="str">
        <x:v>宜春市</x:v>
      </x:c>
      <x:c r="D238" t="str">
        <x:v>宜春市</x:v>
      </x:c>
      <x:c r="E238" t="str">
        <x:v>住房公积金</x:v>
      </x:c>
      <x:c r="F238" t="str">
        <x:v>住房消费提取_亿元</x:v>
      </x:c>
      <x:c r="G238" s="16" t="n">
        <x:v>26.94</x:v>
      </x:c>
      <x:c r="H238" t="str">
        <x:v>亿元</x:v>
      </x:c>
      <x:c r="I238" t="str">
        <x:v>省级年度报告分市表</x:v>
      </x:c>
      <x:c r="J238" t="str">
        <x:v>2025年全年/年末</x:v>
      </x:c>
      <x:c r="K238" t="str">
        <x:v>https://jx.ifeng.com/c/8sk35lBJNwe</x:v>
      </x:c>
      <x:c r="L238" t="str">
        <x:v>地级市口径，不可直接分配给县级行政区</x:v>
      </x:c>
    </x:row>
    <x:row r="239" ht="21" customHeight="1">
      <x:c r="A239" t="n">
        <x:v>2025</x:v>
      </x:c>
      <x:c r="B239" t="str">
        <x:v>地级市</x:v>
      </x:c>
      <x:c r="C239" t="str">
        <x:v>宜春市</x:v>
      </x:c>
      <x:c r="D239" t="str">
        <x:v>宜春市</x:v>
      </x:c>
      <x:c r="E239" t="str">
        <x:v>住房公积金</x:v>
      </x:c>
      <x:c r="F239" t="str">
        <x:v>非住房消费提取_亿元</x:v>
      </x:c>
      <x:c r="G239" s="16" t="n">
        <x:v>11.63</x:v>
      </x:c>
      <x:c r="H239" t="str">
        <x:v>亿元</x:v>
      </x:c>
      <x:c r="I239" t="str">
        <x:v>省级年度报告分市表</x:v>
      </x:c>
      <x:c r="J239" t="str">
        <x:v>2025年全年/年末</x:v>
      </x:c>
      <x:c r="K239" t="str">
        <x:v>https://jx.ifeng.com/c/8sk35lBJNwe</x:v>
      </x:c>
      <x:c r="L239" t="str">
        <x:v>地级市口径，不可直接分配给县级行政区</x:v>
      </x:c>
    </x:row>
    <x:row r="240" ht="21" customHeight="1">
      <x:c r="A240" t="n">
        <x:v>2025</x:v>
      </x:c>
      <x:c r="B240" t="str">
        <x:v>地级市</x:v>
      </x:c>
      <x:c r="C240" t="str">
        <x:v>宜春市</x:v>
      </x:c>
      <x:c r="D240" t="str">
        <x:v>宜春市</x:v>
      </x:c>
      <x:c r="E240" t="str">
        <x:v>住房公积金</x:v>
      </x:c>
      <x:c r="F240" t="str">
        <x:v>个人住房贷款_万笔</x:v>
      </x:c>
      <x:c r="G240" s="16" t="n">
        <x:v>0.34</x:v>
      </x:c>
      <x:c r="H240" t="str">
        <x:v>万笔</x:v>
      </x:c>
      <x:c r="I240" t="str">
        <x:v>省级年度报告分市表</x:v>
      </x:c>
      <x:c r="J240" t="str">
        <x:v>2025年全年/年末</x:v>
      </x:c>
      <x:c r="K240" t="str">
        <x:v>https://jx.ifeng.com/c/8sk35lBJNwe</x:v>
      </x:c>
      <x:c r="L240" t="str">
        <x:v>地级市口径，不可直接分配给县级行政区</x:v>
      </x:c>
    </x:row>
    <x:row r="241" ht="21" customHeight="1">
      <x:c r="A241" t="n">
        <x:v>2025</x:v>
      </x:c>
      <x:c r="B241" t="str">
        <x:v>地级市</x:v>
      </x:c>
      <x:c r="C241" t="str">
        <x:v>宜春市</x:v>
      </x:c>
      <x:c r="D241" t="str">
        <x:v>宜春市</x:v>
      </x:c>
      <x:c r="E241" t="str">
        <x:v>住房公积金</x:v>
      </x:c>
      <x:c r="F241" t="str">
        <x:v>发放贷款_亿元</x:v>
      </x:c>
      <x:c r="G241" s="16" t="n">
        <x:v>16.14</x:v>
      </x:c>
      <x:c r="H241" t="str">
        <x:v>亿元</x:v>
      </x:c>
      <x:c r="I241" t="str">
        <x:v>省级年度报告分市表</x:v>
      </x:c>
      <x:c r="J241" t="str">
        <x:v>2025年全年/年末</x:v>
      </x:c>
      <x:c r="K241" t="str">
        <x:v>https://jx.ifeng.com/c/8sk35lBJNwe</x:v>
      </x:c>
      <x:c r="L241" t="str">
        <x:v>地级市口径，不可直接分配给县级行政区</x:v>
      </x:c>
    </x:row>
    <x:row r="242" ht="21" customHeight="1">
      <x:c r="A242" t="n">
        <x:v>2025</x:v>
      </x:c>
      <x:c r="B242" t="str">
        <x:v>地级市</x:v>
      </x:c>
      <x:c r="C242" t="str">
        <x:v>宜春市</x:v>
      </x:c>
      <x:c r="D242" t="str">
        <x:v>宜春市</x:v>
      </x:c>
      <x:c r="E242" t="str">
        <x:v>住房公积金</x:v>
      </x:c>
      <x:c r="F242" t="str">
        <x:v>贷款余额_亿元</x:v>
      </x:c>
      <x:c r="G242" s="16" t="n">
        <x:v>121.53</x:v>
      </x:c>
      <x:c r="H242" t="str">
        <x:v>亿元</x:v>
      </x:c>
      <x:c r="I242" t="str">
        <x:v>省级年度报告分市表</x:v>
      </x:c>
      <x:c r="J242" t="str">
        <x:v>2025年全年/年末</x:v>
      </x:c>
      <x:c r="K242" t="str">
        <x:v>https://jx.ifeng.com/c/8sk35lBJNwe</x:v>
      </x:c>
      <x:c r="L242" t="str">
        <x:v>地级市口径，不可直接分配给县级行政区</x:v>
      </x:c>
    </x:row>
    <x:row r="243" ht="21" customHeight="1">
      <x:c r="A243" t="n">
        <x:v>2025</x:v>
      </x:c>
      <x:c r="B243" t="str">
        <x:v>地级市</x:v>
      </x:c>
      <x:c r="C243" t="str">
        <x:v>宜春市</x:v>
      </x:c>
      <x:c r="D243" t="str">
        <x:v>宜春市</x:v>
      </x:c>
      <x:c r="E243" t="str">
        <x:v>住房公积金</x:v>
      </x:c>
      <x:c r="F243" t="str">
        <x:v>个贷率_%</x:v>
      </x:c>
      <x:c r="G243" s="16" t="n">
        <x:v>62.1</x:v>
      </x:c>
      <x:c r="H243" t="str">
        <x:v>%</x:v>
      </x:c>
      <x:c r="I243" t="str">
        <x:v>省级年度报告分市表</x:v>
      </x:c>
      <x:c r="J243" t="str">
        <x:v>2025年全年/年末</x:v>
      </x:c>
      <x:c r="K243" t="str">
        <x:v>https://jx.ifeng.com/c/8sk35lBJNwe</x:v>
      </x:c>
      <x:c r="L243" t="str">
        <x:v>地级市口径，不可直接分配给县级行政区</x:v>
      </x:c>
    </x:row>
    <x:row r="244" ht="21" customHeight="1">
      <x:c r="A244" t="n">
        <x:v>2025</x:v>
      </x:c>
      <x:c r="B244" t="str">
        <x:v>地级市</x:v>
      </x:c>
      <x:c r="C244" t="str">
        <x:v>抚州市</x:v>
      </x:c>
      <x:c r="D244" t="str">
        <x:v>抚州市</x:v>
      </x:c>
      <x:c r="E244" t="str">
        <x:v>住房公积金</x:v>
      </x:c>
      <x:c r="F244" t="str">
        <x:v>实缴单位_万家</x:v>
      </x:c>
      <x:c r="G244" s="16" t="n">
        <x:v>0.5</x:v>
      </x:c>
      <x:c r="H244" t="str">
        <x:v>万家</x:v>
      </x:c>
      <x:c r="I244" t="str">
        <x:v>省级年度报告分市表</x:v>
      </x:c>
      <x:c r="J244" t="str">
        <x:v>2025年全年/年末</x:v>
      </x:c>
      <x:c r="K244" t="str">
        <x:v>https://jx.ifeng.com/c/8sk35lBJNwe</x:v>
      </x:c>
      <x:c r="L244" t="str">
        <x:v>地级市口径，不可直接分配给县级行政区</x:v>
      </x:c>
    </x:row>
    <x:row r="245" ht="21" customHeight="1">
      <x:c r="A245" t="n">
        <x:v>2025</x:v>
      </x:c>
      <x:c r="B245" t="str">
        <x:v>地级市</x:v>
      </x:c>
      <x:c r="C245" t="str">
        <x:v>抚州市</x:v>
      </x:c>
      <x:c r="D245" t="str">
        <x:v>抚州市</x:v>
      </x:c>
      <x:c r="E245" t="str">
        <x:v>住房公积金</x:v>
      </x:c>
      <x:c r="F245" t="str">
        <x:v>实缴人数_万人</x:v>
      </x:c>
      <x:c r="G245" s="16" t="n">
        <x:v>22.85</x:v>
      </x:c>
      <x:c r="H245" t="str">
        <x:v>万人</x:v>
      </x:c>
      <x:c r="I245" t="str">
        <x:v>省级年度报告分市表</x:v>
      </x:c>
      <x:c r="J245" t="str">
        <x:v>2025年全年/年末</x:v>
      </x:c>
      <x:c r="K245" t="str">
        <x:v>https://jx.ifeng.com/c/8sk35lBJNwe</x:v>
      </x:c>
      <x:c r="L245" t="str">
        <x:v>地级市口径，不可直接分配给县级行政区</x:v>
      </x:c>
    </x:row>
    <x:row r="246" ht="21" customHeight="1">
      <x:c r="A246" t="n">
        <x:v>2025</x:v>
      </x:c>
      <x:c r="B246" t="str">
        <x:v>地级市</x:v>
      </x:c>
      <x:c r="C246" t="str">
        <x:v>抚州市</x:v>
      </x:c>
      <x:c r="D246" t="str">
        <x:v>抚州市</x:v>
      </x:c>
      <x:c r="E246" t="str">
        <x:v>住房公积金</x:v>
      </x:c>
      <x:c r="F246" t="str">
        <x:v>缴存额_亿元</x:v>
      </x:c>
      <x:c r="G246" s="16" t="n">
        <x:v>43.35</x:v>
      </x:c>
      <x:c r="H246" t="str">
        <x:v>亿元</x:v>
      </x:c>
      <x:c r="I246" t="str">
        <x:v>省级年度报告分市表</x:v>
      </x:c>
      <x:c r="J246" t="str">
        <x:v>2025年全年/年末</x:v>
      </x:c>
      <x:c r="K246" t="str">
        <x:v>https://jx.ifeng.com/c/8sk35lBJNwe</x:v>
      </x:c>
      <x:c r="L246" t="str">
        <x:v>地级市口径，不可直接分配给县级行政区</x:v>
      </x:c>
    </x:row>
    <x:row r="247" ht="21" customHeight="1">
      <x:c r="A247" t="n">
        <x:v>2025</x:v>
      </x:c>
      <x:c r="B247" t="str">
        <x:v>地级市</x:v>
      </x:c>
      <x:c r="C247" t="str">
        <x:v>抚州市</x:v>
      </x:c>
      <x:c r="D247" t="str">
        <x:v>抚州市</x:v>
      </x:c>
      <x:c r="E247" t="str">
        <x:v>住房公积金</x:v>
      </x:c>
      <x:c r="F247" t="str">
        <x:v>提取额_亿元</x:v>
      </x:c>
      <x:c r="G247" s="16" t="n">
        <x:v>26.74</x:v>
      </x:c>
      <x:c r="H247" t="str">
        <x:v>亿元</x:v>
      </x:c>
      <x:c r="I247" t="str">
        <x:v>省级年度报告分市表</x:v>
      </x:c>
      <x:c r="J247" t="str">
        <x:v>2025年全年/年末</x:v>
      </x:c>
      <x:c r="K247" t="str">
        <x:v>https://jx.ifeng.com/c/8sk35lBJNwe</x:v>
      </x:c>
      <x:c r="L247" t="str">
        <x:v>地级市口径，不可直接分配给县级行政区</x:v>
      </x:c>
    </x:row>
    <x:row r="248" ht="21" customHeight="1">
      <x:c r="A248" t="n">
        <x:v>2025</x:v>
      </x:c>
      <x:c r="B248" t="str">
        <x:v>地级市</x:v>
      </x:c>
      <x:c r="C248" t="str">
        <x:v>抚州市</x:v>
      </x:c>
      <x:c r="D248" t="str">
        <x:v>抚州市</x:v>
      </x:c>
      <x:c r="E248" t="str">
        <x:v>住房公积金</x:v>
      </x:c>
      <x:c r="F248" t="str">
        <x:v>提取率_%</x:v>
      </x:c>
      <x:c r="G248" s="16" t="n">
        <x:v>61.68</x:v>
      </x:c>
      <x:c r="H248" t="str">
        <x:v>%</x:v>
      </x:c>
      <x:c r="I248" t="str">
        <x:v>省级年度报告分市表</x:v>
      </x:c>
      <x:c r="J248" t="str">
        <x:v>2025年全年/年末</x:v>
      </x:c>
      <x:c r="K248" t="str">
        <x:v>https://jx.ifeng.com/c/8sk35lBJNwe</x:v>
      </x:c>
      <x:c r="L248" t="str">
        <x:v>地级市口径，不可直接分配给县级行政区</x:v>
      </x:c>
    </x:row>
    <x:row r="249" ht="21" customHeight="1">
      <x:c r="A249" t="n">
        <x:v>2025</x:v>
      </x:c>
      <x:c r="B249" t="str">
        <x:v>地级市</x:v>
      </x:c>
      <x:c r="C249" t="str">
        <x:v>抚州市</x:v>
      </x:c>
      <x:c r="D249" t="str">
        <x:v>抚州市</x:v>
      </x:c>
      <x:c r="E249" t="str">
        <x:v>住房公积金</x:v>
      </x:c>
      <x:c r="F249" t="str">
        <x:v>住房消费提取_亿元</x:v>
      </x:c>
      <x:c r="G249" s="16" t="n">
        <x:v>18.45</x:v>
      </x:c>
      <x:c r="H249" t="str">
        <x:v>亿元</x:v>
      </x:c>
      <x:c r="I249" t="str">
        <x:v>省级年度报告分市表</x:v>
      </x:c>
      <x:c r="J249" t="str">
        <x:v>2025年全年/年末</x:v>
      </x:c>
      <x:c r="K249" t="str">
        <x:v>https://jx.ifeng.com/c/8sk35lBJNwe</x:v>
      </x:c>
      <x:c r="L249" t="str">
        <x:v>地级市口径，不可直接分配给县级行政区</x:v>
      </x:c>
    </x:row>
    <x:row r="250" ht="21" customHeight="1">
      <x:c r="A250" t="n">
        <x:v>2025</x:v>
      </x:c>
      <x:c r="B250" t="str">
        <x:v>地级市</x:v>
      </x:c>
      <x:c r="C250" t="str">
        <x:v>抚州市</x:v>
      </x:c>
      <x:c r="D250" t="str">
        <x:v>抚州市</x:v>
      </x:c>
      <x:c r="E250" t="str">
        <x:v>住房公积金</x:v>
      </x:c>
      <x:c r="F250" t="str">
        <x:v>非住房消费提取_亿元</x:v>
      </x:c>
      <x:c r="G250" s="16" t="n">
        <x:v>8.29</x:v>
      </x:c>
      <x:c r="H250" t="str">
        <x:v>亿元</x:v>
      </x:c>
      <x:c r="I250" t="str">
        <x:v>省级年度报告分市表</x:v>
      </x:c>
      <x:c r="J250" t="str">
        <x:v>2025年全年/年末</x:v>
      </x:c>
      <x:c r="K250" t="str">
        <x:v>https://jx.ifeng.com/c/8sk35lBJNwe</x:v>
      </x:c>
      <x:c r="L250" t="str">
        <x:v>地级市口径，不可直接分配给县级行政区</x:v>
      </x:c>
    </x:row>
    <x:row r="251" ht="21" customHeight="1">
      <x:c r="A251" t="n">
        <x:v>2025</x:v>
      </x:c>
      <x:c r="B251" t="str">
        <x:v>地级市</x:v>
      </x:c>
      <x:c r="C251" t="str">
        <x:v>抚州市</x:v>
      </x:c>
      <x:c r="D251" t="str">
        <x:v>抚州市</x:v>
      </x:c>
      <x:c r="E251" t="str">
        <x:v>住房公积金</x:v>
      </x:c>
      <x:c r="F251" t="str">
        <x:v>个人住房贷款_万笔</x:v>
      </x:c>
      <x:c r="G251" s="16" t="n">
        <x:v>0.25</x:v>
      </x:c>
      <x:c r="H251" t="str">
        <x:v>万笔</x:v>
      </x:c>
      <x:c r="I251" t="str">
        <x:v>省级年度报告分市表</x:v>
      </x:c>
      <x:c r="J251" t="str">
        <x:v>2025年全年/年末</x:v>
      </x:c>
      <x:c r="K251" t="str">
        <x:v>https://jx.ifeng.com/c/8sk35lBJNwe</x:v>
      </x:c>
      <x:c r="L251" t="str">
        <x:v>地级市口径，不可直接分配给县级行政区</x:v>
      </x:c>
    </x:row>
    <x:row r="252" ht="21" customHeight="1">
      <x:c r="A252" t="n">
        <x:v>2025</x:v>
      </x:c>
      <x:c r="B252" t="str">
        <x:v>地级市</x:v>
      </x:c>
      <x:c r="C252" t="str">
        <x:v>抚州市</x:v>
      </x:c>
      <x:c r="D252" t="str">
        <x:v>抚州市</x:v>
      </x:c>
      <x:c r="E252" t="str">
        <x:v>住房公积金</x:v>
      </x:c>
      <x:c r="F252" t="str">
        <x:v>发放贷款_亿元</x:v>
      </x:c>
      <x:c r="G252" s="16" t="n">
        <x:v>11.27</x:v>
      </x:c>
      <x:c r="H252" t="str">
        <x:v>亿元</x:v>
      </x:c>
      <x:c r="I252" t="str">
        <x:v>省级年度报告分市表</x:v>
      </x:c>
      <x:c r="J252" t="str">
        <x:v>2025年全年/年末</x:v>
      </x:c>
      <x:c r="K252" t="str">
        <x:v>https://jx.ifeng.com/c/8sk35lBJNwe</x:v>
      </x:c>
      <x:c r="L252" t="str">
        <x:v>地级市口径，不可直接分配给县级行政区</x:v>
      </x:c>
    </x:row>
    <x:row r="253" ht="21" customHeight="1">
      <x:c r="A253" t="n">
        <x:v>2025</x:v>
      </x:c>
      <x:c r="B253" t="str">
        <x:v>地级市</x:v>
      </x:c>
      <x:c r="C253" t="str">
        <x:v>抚州市</x:v>
      </x:c>
      <x:c r="D253" t="str">
        <x:v>抚州市</x:v>
      </x:c>
      <x:c r="E253" t="str">
        <x:v>住房公积金</x:v>
      </x:c>
      <x:c r="F253" t="str">
        <x:v>贷款余额_亿元</x:v>
      </x:c>
      <x:c r="G253" s="16" t="n">
        <x:v>108.06</x:v>
      </x:c>
      <x:c r="H253" t="str">
        <x:v>亿元</x:v>
      </x:c>
      <x:c r="I253" t="str">
        <x:v>省级年度报告分市表</x:v>
      </x:c>
      <x:c r="J253" t="str">
        <x:v>2025年全年/年末</x:v>
      </x:c>
      <x:c r="K253" t="str">
        <x:v>https://jx.ifeng.com/c/8sk35lBJNwe</x:v>
      </x:c>
      <x:c r="L253" t="str">
        <x:v>地级市口径，不可直接分配给县级行政区</x:v>
      </x:c>
    </x:row>
    <x:row r="254" ht="21" customHeight="1">
      <x:c r="A254" t="n">
        <x:v>2025</x:v>
      </x:c>
      <x:c r="B254" t="str">
        <x:v>地级市</x:v>
      </x:c>
      <x:c r="C254" t="str">
        <x:v>抚州市</x:v>
      </x:c>
      <x:c r="D254" t="str">
        <x:v>抚州市</x:v>
      </x:c>
      <x:c r="E254" t="str">
        <x:v>住房公积金</x:v>
      </x:c>
      <x:c r="F254" t="str">
        <x:v>个贷率_%</x:v>
      </x:c>
      <x:c r="G254" s="16" t="n">
        <x:v>63.96</x:v>
      </x:c>
      <x:c r="H254" t="str">
        <x:v>%</x:v>
      </x:c>
      <x:c r="I254" t="str">
        <x:v>省级年度报告分市表</x:v>
      </x:c>
      <x:c r="J254" t="str">
        <x:v>2025年全年/年末</x:v>
      </x:c>
      <x:c r="K254" t="str">
        <x:v>https://jx.ifeng.com/c/8sk35lBJNwe</x:v>
      </x:c>
      <x:c r="L254" t="str">
        <x:v>地级市口径，不可直接分配给县级行政区</x:v>
      </x:c>
    </x:row>
    <x:row r="255" ht="21" customHeight="1">
      <x:c r="A255" t="n">
        <x:v>2025</x:v>
      </x:c>
      <x:c r="B255" t="str">
        <x:v>地级市</x:v>
      </x:c>
      <x:c r="C255" t="str">
        <x:v>上饶市</x:v>
      </x:c>
      <x:c r="D255" t="str">
        <x:v>上饶市</x:v>
      </x:c>
      <x:c r="E255" t="str">
        <x:v>住房公积金</x:v>
      </x:c>
      <x:c r="F255" t="str">
        <x:v>实缴单位_万家</x:v>
      </x:c>
      <x:c r="G255" s="16" t="n">
        <x:v>0.6</x:v>
      </x:c>
      <x:c r="H255" t="str">
        <x:v>万家</x:v>
      </x:c>
      <x:c r="I255" t="str">
        <x:v>省级年度报告分市表</x:v>
      </x:c>
      <x:c r="J255" t="str">
        <x:v>2025年全年/年末</x:v>
      </x:c>
      <x:c r="K255" t="str">
        <x:v>https://jx.ifeng.com/c/8sk35lBJNwe</x:v>
      </x:c>
      <x:c r="L255" t="str">
        <x:v>地级市口径，不可直接分配给县级行政区</x:v>
      </x:c>
    </x:row>
    <x:row r="256" ht="21" customHeight="1">
      <x:c r="A256" t="n">
        <x:v>2025</x:v>
      </x:c>
      <x:c r="B256" t="str">
        <x:v>地级市</x:v>
      </x:c>
      <x:c r="C256" t="str">
        <x:v>上饶市</x:v>
      </x:c>
      <x:c r="D256" t="str">
        <x:v>上饶市</x:v>
      </x:c>
      <x:c r="E256" t="str">
        <x:v>住房公积金</x:v>
      </x:c>
      <x:c r="F256" t="str">
        <x:v>实缴人数_万人</x:v>
      </x:c>
      <x:c r="G256" s="16" t="n">
        <x:v>29.21</x:v>
      </x:c>
      <x:c r="H256" t="str">
        <x:v>万人</x:v>
      </x:c>
      <x:c r="I256" t="str">
        <x:v>省级年度报告分市表</x:v>
      </x:c>
      <x:c r="J256" t="str">
        <x:v>2025年全年/年末</x:v>
      </x:c>
      <x:c r="K256" t="str">
        <x:v>https://jx.ifeng.com/c/8sk35lBJNwe</x:v>
      </x:c>
      <x:c r="L256" t="str">
        <x:v>地级市口径，不可直接分配给县级行政区</x:v>
      </x:c>
    </x:row>
    <x:row r="257" ht="21" customHeight="1">
      <x:c r="A257" t="n">
        <x:v>2025</x:v>
      </x:c>
      <x:c r="B257" t="str">
        <x:v>地级市</x:v>
      </x:c>
      <x:c r="C257" t="str">
        <x:v>上饶市</x:v>
      </x:c>
      <x:c r="D257" t="str">
        <x:v>上饶市</x:v>
      </x:c>
      <x:c r="E257" t="str">
        <x:v>住房公积金</x:v>
      </x:c>
      <x:c r="F257" t="str">
        <x:v>缴存额_亿元</x:v>
      </x:c>
      <x:c r="G257" s="16" t="n">
        <x:v>66.05</x:v>
      </x:c>
      <x:c r="H257" t="str">
        <x:v>亿元</x:v>
      </x:c>
      <x:c r="I257" t="str">
        <x:v>省级年度报告分市表</x:v>
      </x:c>
      <x:c r="J257" t="str">
        <x:v>2025年全年/年末</x:v>
      </x:c>
      <x:c r="K257" t="str">
        <x:v>https://jx.ifeng.com/c/8sk35lBJNwe</x:v>
      </x:c>
      <x:c r="L257" t="str">
        <x:v>地级市口径，不可直接分配给县级行政区</x:v>
      </x:c>
    </x:row>
    <x:row r="258" ht="21" customHeight="1">
      <x:c r="A258" t="n">
        <x:v>2025</x:v>
      </x:c>
      <x:c r="B258" t="str">
        <x:v>地级市</x:v>
      </x:c>
      <x:c r="C258" t="str">
        <x:v>上饶市</x:v>
      </x:c>
      <x:c r="D258" t="str">
        <x:v>上饶市</x:v>
      </x:c>
      <x:c r="E258" t="str">
        <x:v>住房公积金</x:v>
      </x:c>
      <x:c r="F258" t="str">
        <x:v>提取额_亿元</x:v>
      </x:c>
      <x:c r="G258" s="16" t="n">
        <x:v>41.8</x:v>
      </x:c>
      <x:c r="H258" t="str">
        <x:v>亿元</x:v>
      </x:c>
      <x:c r="I258" t="str">
        <x:v>省级年度报告分市表</x:v>
      </x:c>
      <x:c r="J258" t="str">
        <x:v>2025年全年/年末</x:v>
      </x:c>
      <x:c r="K258" t="str">
        <x:v>https://jx.ifeng.com/c/8sk35lBJNwe</x:v>
      </x:c>
      <x:c r="L258" t="str">
        <x:v>地级市口径，不可直接分配给县级行政区</x:v>
      </x:c>
    </x:row>
    <x:row r="259" ht="21" customHeight="1">
      <x:c r="A259" t="n">
        <x:v>2025</x:v>
      </x:c>
      <x:c r="B259" t="str">
        <x:v>地级市</x:v>
      </x:c>
      <x:c r="C259" t="str">
        <x:v>上饶市</x:v>
      </x:c>
      <x:c r="D259" t="str">
        <x:v>上饶市</x:v>
      </x:c>
      <x:c r="E259" t="str">
        <x:v>住房公积金</x:v>
      </x:c>
      <x:c r="F259" t="str">
        <x:v>提取率_%</x:v>
      </x:c>
      <x:c r="G259" s="16" t="n">
        <x:v>63.28</x:v>
      </x:c>
      <x:c r="H259" t="str">
        <x:v>%</x:v>
      </x:c>
      <x:c r="I259" t="str">
        <x:v>省级年度报告分市表</x:v>
      </x:c>
      <x:c r="J259" t="str">
        <x:v>2025年全年/年末</x:v>
      </x:c>
      <x:c r="K259" t="str">
        <x:v>https://jx.ifeng.com/c/8sk35lBJNwe</x:v>
      </x:c>
      <x:c r="L259" t="str">
        <x:v>地级市口径，不可直接分配给县级行政区</x:v>
      </x:c>
    </x:row>
    <x:row r="260" ht="21" customHeight="1">
      <x:c r="A260" t="n">
        <x:v>2025</x:v>
      </x:c>
      <x:c r="B260" t="str">
        <x:v>地级市</x:v>
      </x:c>
      <x:c r="C260" t="str">
        <x:v>上饶市</x:v>
      </x:c>
      <x:c r="D260" t="str">
        <x:v>上饶市</x:v>
      </x:c>
      <x:c r="E260" t="str">
        <x:v>住房公积金</x:v>
      </x:c>
      <x:c r="F260" t="str">
        <x:v>住房消费提取_亿元</x:v>
      </x:c>
      <x:c r="G260" s="16" t="n">
        <x:v>28.49</x:v>
      </x:c>
      <x:c r="H260" t="str">
        <x:v>亿元</x:v>
      </x:c>
      <x:c r="I260" t="str">
        <x:v>省级年度报告分市表</x:v>
      </x:c>
      <x:c r="J260" t="str">
        <x:v>2025年全年/年末</x:v>
      </x:c>
      <x:c r="K260" t="str">
        <x:v>https://jx.ifeng.com/c/8sk35lBJNwe</x:v>
      </x:c>
      <x:c r="L260" t="str">
        <x:v>地级市口径，不可直接分配给县级行政区</x:v>
      </x:c>
    </x:row>
    <x:row r="261" ht="21" customHeight="1">
      <x:c r="A261" t="n">
        <x:v>2025</x:v>
      </x:c>
      <x:c r="B261" t="str">
        <x:v>地级市</x:v>
      </x:c>
      <x:c r="C261" t="str">
        <x:v>上饶市</x:v>
      </x:c>
      <x:c r="D261" t="str">
        <x:v>上饶市</x:v>
      </x:c>
      <x:c r="E261" t="str">
        <x:v>住房公积金</x:v>
      </x:c>
      <x:c r="F261" t="str">
        <x:v>非住房消费提取_亿元</x:v>
      </x:c>
      <x:c r="G261" s="16" t="n">
        <x:v>13.3</x:v>
      </x:c>
      <x:c r="H261" t="str">
        <x:v>亿元</x:v>
      </x:c>
      <x:c r="I261" t="str">
        <x:v>省级年度报告分市表</x:v>
      </x:c>
      <x:c r="J261" t="str">
        <x:v>2025年全年/年末</x:v>
      </x:c>
      <x:c r="K261" t="str">
        <x:v>https://jx.ifeng.com/c/8sk35lBJNwe</x:v>
      </x:c>
      <x:c r="L261" t="str">
        <x:v>地级市口径，不可直接分配给县级行政区</x:v>
      </x:c>
    </x:row>
    <x:row r="262" ht="21" customHeight="1">
      <x:c r="A262" t="n">
        <x:v>2025</x:v>
      </x:c>
      <x:c r="B262" t="str">
        <x:v>地级市</x:v>
      </x:c>
      <x:c r="C262" t="str">
        <x:v>上饶市</x:v>
      </x:c>
      <x:c r="D262" t="str">
        <x:v>上饶市</x:v>
      </x:c>
      <x:c r="E262" t="str">
        <x:v>住房公积金</x:v>
      </x:c>
      <x:c r="F262" t="str">
        <x:v>个人住房贷款_万笔</x:v>
      </x:c>
      <x:c r="G262" s="16" t="n">
        <x:v>0.43</x:v>
      </x:c>
      <x:c r="H262" t="str">
        <x:v>万笔</x:v>
      </x:c>
      <x:c r="I262" t="str">
        <x:v>省级年度报告分市表</x:v>
      </x:c>
      <x:c r="J262" t="str">
        <x:v>2025年全年/年末</x:v>
      </x:c>
      <x:c r="K262" t="str">
        <x:v>https://jx.ifeng.com/c/8sk35lBJNwe</x:v>
      </x:c>
      <x:c r="L262" t="str">
        <x:v>地级市口径，不可直接分配给县级行政区</x:v>
      </x:c>
    </x:row>
    <x:row r="263" ht="21" customHeight="1">
      <x:c r="A263" t="n">
        <x:v>2025</x:v>
      </x:c>
      <x:c r="B263" t="str">
        <x:v>地级市</x:v>
      </x:c>
      <x:c r="C263" t="str">
        <x:v>上饶市</x:v>
      </x:c>
      <x:c r="D263" t="str">
        <x:v>上饶市</x:v>
      </x:c>
      <x:c r="E263" t="str">
        <x:v>住房公积金</x:v>
      </x:c>
      <x:c r="F263" t="str">
        <x:v>发放贷款_亿元</x:v>
      </x:c>
      <x:c r="G263" s="16" t="n">
        <x:v>22.25</x:v>
      </x:c>
      <x:c r="H263" t="str">
        <x:v>亿元</x:v>
      </x:c>
      <x:c r="I263" t="str">
        <x:v>省级年度报告分市表</x:v>
      </x:c>
      <x:c r="J263" t="str">
        <x:v>2025年全年/年末</x:v>
      </x:c>
      <x:c r="K263" t="str">
        <x:v>https://jx.ifeng.com/c/8sk35lBJNwe</x:v>
      </x:c>
      <x:c r="L263" t="str">
        <x:v>地级市口径，不可直接分配给县级行政区</x:v>
      </x:c>
    </x:row>
    <x:row r="264" ht="21" customHeight="1">
      <x:c r="A264" t="n">
        <x:v>2025</x:v>
      </x:c>
      <x:c r="B264" t="str">
        <x:v>地级市</x:v>
      </x:c>
      <x:c r="C264" t="str">
        <x:v>上饶市</x:v>
      </x:c>
      <x:c r="D264" t="str">
        <x:v>上饶市</x:v>
      </x:c>
      <x:c r="E264" t="str">
        <x:v>住房公积金</x:v>
      </x:c>
      <x:c r="F264" t="str">
        <x:v>贷款余额_亿元</x:v>
      </x:c>
      <x:c r="G264" s="16" t="n">
        <x:v>178.93</x:v>
      </x:c>
      <x:c r="H264" t="str">
        <x:v>亿元</x:v>
      </x:c>
      <x:c r="I264" t="str">
        <x:v>省级年度报告分市表</x:v>
      </x:c>
      <x:c r="J264" t="str">
        <x:v>2025年全年/年末</x:v>
      </x:c>
      <x:c r="K264" t="str">
        <x:v>https://jx.ifeng.com/c/8sk35lBJNwe</x:v>
      </x:c>
      <x:c r="L264" t="str">
        <x:v>地级市口径，不可直接分配给县级行政区</x:v>
      </x:c>
    </x:row>
    <x:row r="265" ht="21" customHeight="1">
      <x:c r="A265" t="n">
        <x:v>2025</x:v>
      </x:c>
      <x:c r="B265" t="str">
        <x:v>县级</x:v>
      </x:c>
      <x:c r="C265" t="str">
        <x:v>吉安市</x:v>
      </x:c>
      <x:c r="D265" t="str">
        <x:v>永丰县</x:v>
      </x:c>
      <x:c r="E265" t="str">
        <x:v>人口经济</x:v>
      </x:c>
      <x:c r="F265" t="str">
        <x:v>GDP_亿元</x:v>
      </x:c>
      <x:c r="G265" s="16" t="n">
        <x:v>251.65</x:v>
      </x:c>
      <x:c r="H265" t="str">
        <x:v>亿元</x:v>
      </x:c>
      <x:c r="I265" t="str">
        <x:v>二次转载</x:v>
      </x:c>
      <x:c r="J265" t="str">
        <x:v>2025年</x:v>
      </x:c>
      <x:c r="K265" t="str">
        <x:v>https://maptable.com/tjgb/2025/%E5%90%89%E5%AE%89%E5%B8%82/%E6%B0%B8%E4%B8%B0%E5%8E%BF/report/ji-an-shi-yong-feng-xian-2025-nian-guo-min-jing-ji-he-she-hui-fa-zhan-tong-ji-gong-bao-2</x:v>
      </x:c>
      <x:c r="L265" t="str">
        <x:v>来自2025年统计公报核验补充</x:v>
      </x:c>
    </x:row>
    <x:row r="266" ht="21" customHeight="1">
      <x:c r="A266" t="n">
        <x:v>2025</x:v>
      </x:c>
      <x:c r="B266" t="str">
        <x:v>县级</x:v>
      </x:c>
      <x:c r="C266" t="str">
        <x:v>吉安市</x:v>
      </x:c>
      <x:c r="D266" t="str">
        <x:v>永丰县</x:v>
      </x:c>
      <x:c r="E266" t="str">
        <x:v>人口经济</x:v>
      </x:c>
      <x:c r="F266" t="str">
        <x:v>GDP_亿元</x:v>
      </x:c>
      <x:c r="G266" s="16" t="n">
        <x:v>251.65</x:v>
      </x:c>
      <x:c r="H266" t="str">
        <x:v>亿元</x:v>
      </x:c>
      <x:c r="I266" t="str">
        <x:v>二次转载</x:v>
      </x:c>
      <x:c r="J266" t="str">
        <x:v>2025年</x:v>
      </x:c>
      <x:c r="K266" t="str">
        <x:v>https://maptable.com/tjgb/2025/%E5%90%89%E5%AE%89%E5%B8%82/%E6%B0%B8%E4%B8%B0%E5%8E%BF/report/ji-an-shi-yong-feng-xian-2025-nian-guo-min-jing-ji-he-she-hui-fa-zhan-tong-ji-gong-bao-2</x:v>
      </x:c>
      <x:c r="L266" t="str">
        <x:v>来自2025年统计公报核验补充</x:v>
      </x:c>
    </x:row>
    <x:row r="267" ht="21" customHeight="1">
      <x:c r="A267" t="n">
        <x:v>2025</x:v>
      </x:c>
      <x:c r="B267" t="str">
        <x:v>县级</x:v>
      </x:c>
      <x:c r="C267" t="str">
        <x:v>吉安市</x:v>
      </x:c>
      <x:c r="D267" t="str">
        <x:v>吉安县</x:v>
      </x:c>
      <x:c r="E267" t="str">
        <x:v>人口经济</x:v>
      </x:c>
      <x:c r="F267" t="str">
        <x:v>城镇居民人均可支配收入_元</x:v>
      </x:c>
      <x:c r="G267" s="16" t="n">
        <x:v>46935</x:v>
      </x:c>
      <x:c r="H267" t="str">
        <x:v>元</x:v>
      </x:c>
      <x:c r="I267" t="str">
        <x:v>二次转载</x:v>
      </x:c>
      <x:c r="J267" t="str">
        <x:v>2025年</x:v>
      </x:c>
      <x:c r="K267" t="str">
        <x:v>https://maptable.com/tjgb/2025/%E5%90%89%E5%AE%89%E5%B8%82/%E5%90%89%E5%AE%89%E5%8E%BF/report/ji-an-shi-ji-an-xian-2025-nian-guo-min-jing-ji-he-she-hui-fa-zhan-tong-ji-gong-bao</x:v>
      </x:c>
      <x:c r="L267" t="str">
        <x:v>来自2025年统计公报核验补充</x:v>
      </x:c>
    </x:row>
    <x:row r="268" ht="21" customHeight="1">
      <x:c r="A268" t="n">
        <x:v>2025</x:v>
      </x:c>
      <x:c r="B268" t="str">
        <x:v>县级</x:v>
      </x:c>
      <x:c r="C268" t="str">
        <x:v>吉安市</x:v>
      </x:c>
      <x:c r="D268" t="str">
        <x:v>吉安县</x:v>
      </x:c>
      <x:c r="E268" t="str">
        <x:v>人口经济</x:v>
      </x:c>
      <x:c r="F268" t="str">
        <x:v>农村居民人均可支配收入_元</x:v>
      </x:c>
      <x:c r="G268" s="16" t="n">
        <x:v>21265</x:v>
      </x:c>
      <x:c r="H268" t="str">
        <x:v>元</x:v>
      </x:c>
      <x:c r="I268" t="str">
        <x:v>二次转载</x:v>
      </x:c>
      <x:c r="J268" t="str">
        <x:v>2025年</x:v>
      </x:c>
      <x:c r="K268" t="str">
        <x:v>https://maptable.com/tjgb/2025/%E5%90%89%E5%AE%89%E5%B8%82/%E5%90%89%E5%AE%89%E5%8E%BF/report/ji-an-shi-ji-an-xian-2025-nian-guo-min-jing-ji-he-she-hui-fa-zhan-tong-ji-gong-bao</x:v>
      </x:c>
      <x:c r="L268" t="str">
        <x:v>来自2025年统计公报核验补充</x:v>
      </x:c>
    </x:row>
    <x:row r="269" ht="22" customHeight="1">
      <x:c r="A269" t="n">
        <x:v>2025</x:v>
      </x:c>
      <x:c r="B269" t="str">
        <x:v>县级</x:v>
      </x:c>
      <x:c r="C269" t="str">
        <x:v>赣州市</x:v>
      </x:c>
      <x:c r="D269" t="str">
        <x:v>章贡区</x:v>
      </x:c>
      <x:c r="E269" t="str">
        <x:v>人口经济</x:v>
      </x:c>
      <x:c r="F269" t="str">
        <x:v>常住人口_人</x:v>
      </x:c>
      <x:c r="G269" t="n">
        <x:v>718000</x:v>
      </x:c>
      <x:c r="H269" t="str">
        <x:v>人</x:v>
      </x:c>
      <x:c r="I269" t="str">
        <x:v>政府官网</x:v>
      </x:c>
      <x:c r="J269" t="str">
        <x:v>2025年末，市级汇总数（万人保留2位）</x:v>
      </x:c>
      <x:c r="K269" t="str">
        <x:v>https://www.ganzhou.gov.cn/zfxxgk/tjzdtjfx/202605/1b10c9c94cf1443f851d6523be5863d3.shtml</x:v>
      </x:c>
      <x:c r="L269" t="str">
        <x:v>万人的四舍五入换算；对应原数：71.8万人。</x:v>
      </x:c>
    </x:row>
    <x:row r="270" ht="22" customHeight="1">
      <x:c r="A270" t="n">
        <x:v>2025</x:v>
      </x:c>
      <x:c r="B270" t="str">
        <x:v>县级</x:v>
      </x:c>
      <x:c r="C270" t="str">
        <x:v>赣州市</x:v>
      </x:c>
      <x:c r="D270" t="str">
        <x:v>南康区</x:v>
      </x:c>
      <x:c r="E270" t="str">
        <x:v>人口经济</x:v>
      </x:c>
      <x:c r="F270" t="str">
        <x:v>常住人口_人</x:v>
      </x:c>
      <x:c r="G270" t="n">
        <x:v>838200</x:v>
      </x:c>
      <x:c r="H270" t="str">
        <x:v>人</x:v>
      </x:c>
      <x:c r="I270" t="str">
        <x:v>政府官网</x:v>
      </x:c>
      <x:c r="J270" t="str">
        <x:v>2025年末，市级汇总数（万人保留2位）</x:v>
      </x:c>
      <x:c r="K270" t="str">
        <x:v>https://www.ganzhou.gov.cn/zfxxgk/tjzdtjfx/202605/1b10c9c94cf1443f851d6523be5863d3.shtml</x:v>
      </x:c>
      <x:c r="L270" t="str">
        <x:v>万人的四舍五入换算；对应原数：83.82万人。</x:v>
      </x:c>
    </x:row>
    <x:row r="271" ht="22" customHeight="1">
      <x:c r="A271" t="n">
        <x:v>2025</x:v>
      </x:c>
      <x:c r="B271" t="str">
        <x:v>县级</x:v>
      </x:c>
      <x:c r="C271" t="str">
        <x:v>赣州市</x:v>
      </x:c>
      <x:c r="D271" t="str">
        <x:v>赣县区</x:v>
      </x:c>
      <x:c r="E271" t="str">
        <x:v>人口经济</x:v>
      </x:c>
      <x:c r="F271" t="str">
        <x:v>常住人口_人</x:v>
      </x:c>
      <x:c r="G271" t="n">
        <x:v>573400</x:v>
      </x:c>
      <x:c r="H271" t="str">
        <x:v>人</x:v>
      </x:c>
      <x:c r="I271" t="str">
        <x:v>政府官网</x:v>
      </x:c>
      <x:c r="J271" t="str">
        <x:v>2025年末，市级汇总数（万人保留2位）</x:v>
      </x:c>
      <x:c r="K271" t="str">
        <x:v>https://www.ganzhou.gov.cn/zfxxgk/tjzdtjfx/202605/1b10c9c94cf1443f851d6523be5863d3.shtml</x:v>
      </x:c>
      <x:c r="L271" t="str">
        <x:v>万人的四舍五入换算；对应原数：57.34万人。</x:v>
      </x:c>
    </x:row>
    <x:row r="272" ht="22" customHeight="1">
      <x:c r="A272" t="n">
        <x:v>2025</x:v>
      </x:c>
      <x:c r="B272" t="str">
        <x:v>县级</x:v>
      </x:c>
      <x:c r="C272" t="str">
        <x:v>赣州市</x:v>
      </x:c>
      <x:c r="D272" t="str">
        <x:v>大余县</x:v>
      </x:c>
      <x:c r="E272" t="str">
        <x:v>人口经济</x:v>
      </x:c>
      <x:c r="F272" t="str">
        <x:v>常住人口_人</x:v>
      </x:c>
      <x:c r="G272" t="n">
        <x:v>260700</x:v>
      </x:c>
      <x:c r="H272" t="str">
        <x:v>人</x:v>
      </x:c>
      <x:c r="I272" t="str">
        <x:v>政府官网</x:v>
      </x:c>
      <x:c r="J272" t="str">
        <x:v>2025年末，市级汇总数（万人保留2位）</x:v>
      </x:c>
      <x:c r="K272" t="str">
        <x:v>https://www.ganzhou.gov.cn/zfxxgk/tjzdtjfx/202605/1b10c9c94cf1443f851d6523be5863d3.shtml</x:v>
      </x:c>
      <x:c r="L272" t="str">
        <x:v>万人的四舍五入换算；对应原数：26.07万人。</x:v>
      </x:c>
    </x:row>
    <x:row r="273" ht="22" customHeight="1">
      <x:c r="A273" t="n">
        <x:v>2025</x:v>
      </x:c>
      <x:c r="B273" t="str">
        <x:v>县级</x:v>
      </x:c>
      <x:c r="C273" t="str">
        <x:v>赣州市</x:v>
      </x:c>
      <x:c r="D273" t="str">
        <x:v>上犹县</x:v>
      </x:c>
      <x:c r="E273" t="str">
        <x:v>人口经济</x:v>
      </x:c>
      <x:c r="F273" t="str">
        <x:v>常住人口_人</x:v>
      </x:c>
      <x:c r="G273" t="n">
        <x:v>265700</x:v>
      </x:c>
      <x:c r="H273" t="str">
        <x:v>人</x:v>
      </x:c>
      <x:c r="I273" t="str">
        <x:v>政府官网</x:v>
      </x:c>
      <x:c r="J273" t="str">
        <x:v>2025年末，市级汇总数（万人保留2位）</x:v>
      </x:c>
      <x:c r="K273" t="str">
        <x:v>https://www.ganzhou.gov.cn/zfxxgk/tjzdtjfx/202605/1b10c9c94cf1443f851d6523be5863d3.shtml</x:v>
      </x:c>
      <x:c r="L273" t="str">
        <x:v>万人的四舍五入换算；对应原数：26.57万人。</x:v>
      </x:c>
    </x:row>
    <x:row r="274" ht="22" customHeight="1">
      <x:c r="A274" t="n">
        <x:v>2025</x:v>
      </x:c>
      <x:c r="B274" t="str">
        <x:v>县级</x:v>
      </x:c>
      <x:c r="C274" t="str">
        <x:v>赣州市</x:v>
      </x:c>
      <x:c r="D274" t="str">
        <x:v>安远县</x:v>
      </x:c>
      <x:c r="E274" t="str">
        <x:v>人口经济</x:v>
      </x:c>
      <x:c r="F274" t="str">
        <x:v>常住人口_人</x:v>
      </x:c>
      <x:c r="G274" t="n">
        <x:v>342200</x:v>
      </x:c>
      <x:c r="H274" t="str">
        <x:v>人</x:v>
      </x:c>
      <x:c r="I274" t="str">
        <x:v>政府官网</x:v>
      </x:c>
      <x:c r="J274" t="str">
        <x:v>2025年末，市级汇总数（万人保留2位）</x:v>
      </x:c>
      <x:c r="K274" t="str">
        <x:v>https://www.ganzhou.gov.cn/zfxxgk/tjzdtjfx/202605/1b10c9c94cf1443f851d6523be5863d3.shtml</x:v>
      </x:c>
      <x:c r="L274" t="str">
        <x:v>万人的四舍五入换算；对应原数：34.22万人。</x:v>
      </x:c>
    </x:row>
    <x:row r="275" ht="22" customHeight="1">
      <x:c r="A275" t="n">
        <x:v>2025</x:v>
      </x:c>
      <x:c r="B275" t="str">
        <x:v>县级</x:v>
      </x:c>
      <x:c r="C275" t="str">
        <x:v>赣州市</x:v>
      </x:c>
      <x:c r="D275" t="str">
        <x:v>定南县</x:v>
      </x:c>
      <x:c r="E275" t="str">
        <x:v>人口经济</x:v>
      </x:c>
      <x:c r="F275" t="str">
        <x:v>常住人口_人</x:v>
      </x:c>
      <x:c r="G275" t="n">
        <x:v>209700</x:v>
      </x:c>
      <x:c r="H275" t="str">
        <x:v>人</x:v>
      </x:c>
      <x:c r="I275" t="str">
        <x:v>政府官网</x:v>
      </x:c>
      <x:c r="J275" t="str">
        <x:v>2025年末，市级汇总数（万人保留2位）</x:v>
      </x:c>
      <x:c r="K275" t="str">
        <x:v>https://www.ganzhou.gov.cn/zfxxgk/tjzdtjfx/202605/1b10c9c94cf1443f851d6523be5863d3.shtml</x:v>
      </x:c>
      <x:c r="L275" t="str">
        <x:v>万人的四舍五入换算；对应原数：20.97万人。</x:v>
      </x:c>
    </x:row>
    <x:row r="276" ht="22" customHeight="1">
      <x:c r="A276" t="n">
        <x:v>2025</x:v>
      </x:c>
      <x:c r="B276" t="str">
        <x:v>县级</x:v>
      </x:c>
      <x:c r="C276" t="str">
        <x:v>赣州市</x:v>
      </x:c>
      <x:c r="D276" t="str">
        <x:v>全南县</x:v>
      </x:c>
      <x:c r="E276" t="str">
        <x:v>人口经济</x:v>
      </x:c>
      <x:c r="F276" t="str">
        <x:v>常住人口_人</x:v>
      </x:c>
      <x:c r="G276" t="n">
        <x:v>168000</x:v>
      </x:c>
      <x:c r="H276" t="str">
        <x:v>人</x:v>
      </x:c>
      <x:c r="I276" t="str">
        <x:v>政府官网</x:v>
      </x:c>
      <x:c r="J276" t="str">
        <x:v>2025年末，市级汇总数（万人保留2位）</x:v>
      </x:c>
      <x:c r="K276" t="str">
        <x:v>https://www.ganzhou.gov.cn/zfxxgk/tjzdtjfx/202605/1b10c9c94cf1443f851d6523be5863d3.shtml</x:v>
      </x:c>
      <x:c r="L276" t="str">
        <x:v>万人的四舍五入换算；对应原数：16.8万人。</x:v>
      </x:c>
    </x:row>
    <x:row r="277" ht="22" customHeight="1">
      <x:c r="A277" t="n">
        <x:v>2025</x:v>
      </x:c>
      <x:c r="B277" t="str">
        <x:v>县级</x:v>
      </x:c>
      <x:c r="C277" t="str">
        <x:v>赣州市</x:v>
      </x:c>
      <x:c r="D277" t="str">
        <x:v>宁都县</x:v>
      </x:c>
      <x:c r="E277" t="str">
        <x:v>人口经济</x:v>
      </x:c>
      <x:c r="F277" t="str">
        <x:v>常住人口_人</x:v>
      </x:c>
      <x:c r="G277" t="n">
        <x:v>690500</x:v>
      </x:c>
      <x:c r="H277" t="str">
        <x:v>人</x:v>
      </x:c>
      <x:c r="I277" t="str">
        <x:v>政府官网</x:v>
      </x:c>
      <x:c r="J277" t="str">
        <x:v>2025年末，市级汇总数（万人保留2位）</x:v>
      </x:c>
      <x:c r="K277" t="str">
        <x:v>https://www.ganzhou.gov.cn/zfxxgk/tjzdtjfx/202605/1b10c9c94cf1443f851d6523be5863d3.shtml</x:v>
      </x:c>
      <x:c r="L277" t="str">
        <x:v>万人的四舍五入换算；对应原数：69.05万人。</x:v>
      </x:c>
    </x:row>
    <x:row r="278" ht="22" customHeight="1">
      <x:c r="A278" t="n">
        <x:v>2025</x:v>
      </x:c>
      <x:c r="B278" t="str">
        <x:v>县级</x:v>
      </x:c>
      <x:c r="C278" t="str">
        <x:v>赣州市</x:v>
      </x:c>
      <x:c r="D278" t="str">
        <x:v>于都县</x:v>
      </x:c>
      <x:c r="E278" t="str">
        <x:v>人口经济</x:v>
      </x:c>
      <x:c r="F278" t="str">
        <x:v>常住人口_人</x:v>
      </x:c>
      <x:c r="G278" t="n">
        <x:v>896200</x:v>
      </x:c>
      <x:c r="H278" t="str">
        <x:v>人</x:v>
      </x:c>
      <x:c r="I278" t="str">
        <x:v>政府官网</x:v>
      </x:c>
      <x:c r="J278" t="str">
        <x:v>2025年末，市级汇总数（万人保留2位）</x:v>
      </x:c>
      <x:c r="K278" t="str">
        <x:v>https://www.ganzhou.gov.cn/zfxxgk/tjzdtjfx/202605/1b10c9c94cf1443f851d6523be5863d3.shtml</x:v>
      </x:c>
      <x:c r="L278" t="str">
        <x:v>万人的四舍五入换算；对应原数：89.62万人。</x:v>
      </x:c>
    </x:row>
    <x:row r="279" ht="22" customHeight="1">
      <x:c r="A279" t="n">
        <x:v>2025</x:v>
      </x:c>
      <x:c r="B279" t="str">
        <x:v>县级</x:v>
      </x:c>
      <x:c r="C279" t="str">
        <x:v>赣州市</x:v>
      </x:c>
      <x:c r="D279" t="str">
        <x:v>会昌县</x:v>
      </x:c>
      <x:c r="E279" t="str">
        <x:v>人口经济</x:v>
      </x:c>
      <x:c r="F279" t="str">
        <x:v>常住人口_人</x:v>
      </x:c>
      <x:c r="G279" t="n">
        <x:v>450800</x:v>
      </x:c>
      <x:c r="H279" t="str">
        <x:v>人</x:v>
      </x:c>
      <x:c r="I279" t="str">
        <x:v>政府官网</x:v>
      </x:c>
      <x:c r="J279" t="str">
        <x:v>2025年末，市级汇总数（万人保留2位）</x:v>
      </x:c>
      <x:c r="K279" t="str">
        <x:v>https://www.ganzhou.gov.cn/zfxxgk/tjzdtjfx/202605/1b10c9c94cf1443f851d6523be5863d3.shtml</x:v>
      </x:c>
      <x:c r="L279" t="str">
        <x:v>万人的四舍五入换算；对应原数：45.08万人。</x:v>
      </x:c>
    </x:row>
    <x:row r="280" ht="22" customHeight="1">
      <x:c r="A280" t="n">
        <x:v>2025</x:v>
      </x:c>
      <x:c r="B280" t="str">
        <x:v>县级</x:v>
      </x:c>
      <x:c r="C280" t="str">
        <x:v>赣州市</x:v>
      </x:c>
      <x:c r="D280" t="str">
        <x:v>寻乌县</x:v>
      </x:c>
      <x:c r="E280" t="str">
        <x:v>人口经济</x:v>
      </x:c>
      <x:c r="F280" t="str">
        <x:v>常住人口_人</x:v>
      </x:c>
      <x:c r="G280" t="n">
        <x:v>279700</x:v>
      </x:c>
      <x:c r="H280" t="str">
        <x:v>人</x:v>
      </x:c>
      <x:c r="I280" t="str">
        <x:v>政府官网</x:v>
      </x:c>
      <x:c r="J280" t="str">
        <x:v>2025年末，市级汇总数（万人保留2位）</x:v>
      </x:c>
      <x:c r="K280" t="str">
        <x:v>https://www.ganzhou.gov.cn/zfxxgk/tjzdtjfx/202605/1b10c9c94cf1443f851d6523be5863d3.shtml</x:v>
      </x:c>
      <x:c r="L280" t="str">
        <x:v>万人的四舍五入换算；对应原数：27.97万人。</x:v>
      </x:c>
    </x:row>
    <x:row r="281" ht="22" customHeight="1">
      <x:c r="A281" t="n">
        <x:v>2025</x:v>
      </x:c>
      <x:c r="B281" t="str">
        <x:v>县级</x:v>
      </x:c>
      <x:c r="C281" t="str">
        <x:v>赣州市</x:v>
      </x:c>
      <x:c r="D281" t="str">
        <x:v>石城县</x:v>
      </x:c>
      <x:c r="E281" t="str">
        <x:v>人口经济</x:v>
      </x:c>
      <x:c r="F281" t="str">
        <x:v>常住人口_人</x:v>
      </x:c>
      <x:c r="G281" t="n">
        <x:v>280500</x:v>
      </x:c>
      <x:c r="H281" t="str">
        <x:v>人</x:v>
      </x:c>
      <x:c r="I281" t="str">
        <x:v>政府官网</x:v>
      </x:c>
      <x:c r="J281" t="str">
        <x:v>2025年末，市级汇总数（万人保留2位）</x:v>
      </x:c>
      <x:c r="K281" t="str">
        <x:v>https://www.ganzhou.gov.cn/zfxxgk/tjzdtjfx/202605/1b10c9c94cf1443f851d6523be5863d3.shtml</x:v>
      </x:c>
      <x:c r="L281" t="str">
        <x:v>万人的四舍五入换算；对应原数：28.05万人。</x:v>
      </x:c>
    </x:row>
    <x:row r="282" ht="22" customHeight="1">
      <x:c r="A282" t="n">
        <x:v>2025</x:v>
      </x:c>
      <x:c r="B282" t="str">
        <x:v>县级</x:v>
      </x:c>
      <x:c r="C282" t="str">
        <x:v>赣州市</x:v>
      </x:c>
      <x:c r="D282" t="str">
        <x:v>瑞金市</x:v>
      </x:c>
      <x:c r="E282" t="str">
        <x:v>人口经济</x:v>
      </x:c>
      <x:c r="F282" t="str">
        <x:v>常住人口_人</x:v>
      </x:c>
      <x:c r="G282" t="n">
        <x:v>606700</x:v>
      </x:c>
      <x:c r="H282" t="str">
        <x:v>人</x:v>
      </x:c>
      <x:c r="I282" t="str">
        <x:v>政府官网</x:v>
      </x:c>
      <x:c r="J282" t="str">
        <x:v>2025年末，市级汇总数（万人保留2位）</x:v>
      </x:c>
      <x:c r="K282" t="str">
        <x:v>https://www.ganzhou.gov.cn/zfxxgk/tjzdtjfx/202605/1b10c9c94cf1443f851d6523be5863d3.shtml</x:v>
      </x:c>
      <x:c r="L282" t="str">
        <x:v>万人的四舍五入换算；对应原数：60.67万人。</x:v>
      </x:c>
    </x:row>
    <x:row r="283" ht="22" customHeight="1">
      <x:c r="A283" t="n">
        <x:v>2025</x:v>
      </x:c>
      <x:c r="B283" t="str">
        <x:v>县级</x:v>
      </x:c>
      <x:c r="C283" t="str">
        <x:v>赣州市</x:v>
      </x:c>
      <x:c r="D283" t="str">
        <x:v>龙南市</x:v>
      </x:c>
      <x:c r="E283" t="str">
        <x:v>人口经济</x:v>
      </x:c>
      <x:c r="F283" t="str">
        <x:v>常住人口_人</x:v>
      </x:c>
      <x:c r="G283" t="n">
        <x:v>316700</x:v>
      </x:c>
      <x:c r="H283" t="str">
        <x:v>人</x:v>
      </x:c>
      <x:c r="I283" t="str">
        <x:v>政府官网</x:v>
      </x:c>
      <x:c r="J283" t="str">
        <x:v>2025年末，市级汇总数（万人保留2位）</x:v>
      </x:c>
      <x:c r="K283" t="str">
        <x:v>https://www.ganzhou.gov.cn/zfxxgk/tjzdtjfx/202605/1b10c9c94cf1443f851d6523be5863d3.shtml</x:v>
      </x:c>
      <x:c r="L283" t="str">
        <x:v>万人的四舍五入换算；对应原数：31.67万人。</x:v>
      </x:c>
    </x:row>
    <x:row r="284" ht="22" customHeight="1">
      <x:c r="A284" t="n">
        <x:v>2025</x:v>
      </x:c>
      <x:c r="B284" t="str">
        <x:v>县级</x:v>
      </x:c>
      <x:c r="C284" t="str">
        <x:v>吉安市</x:v>
      </x:c>
      <x:c r="D284" t="str">
        <x:v>遂川县</x:v>
      </x:c>
      <x:c r="E284" t="str">
        <x:v>人口就业与社保</x:v>
      </x:c>
      <x:c r="F284" t="str">
        <x:v>常住人口_人</x:v>
      </x:c>
      <x:c r="G284" t="n">
        <x:v>483636</x:v>
      </x:c>
      <x:c r="H284" t="str">
        <x:v>人/亿元/元，按名称</x:v>
      </x:c>
      <x:c r="I284" t="str">
        <x:v>统计公报转录/政府官网</x:v>
      </x:c>
      <x:c r="J284" t="str">
        <x:v>2025年末或全年，依指标定义</x:v>
      </x:c>
      <x:c r="K284" t="str">
        <x:v>https://tjgb.hongheiku.com/xjtjgb/xj2020/73392.html</x:v>
      </x:c>
      <x:c r="L284" t="str">
        <x:v>县级2025统计公报。F/G为常住人口年龄结构；养老金参保人数不等于待遇领取人数。</x:v>
      </x:c>
    </x:row>
    <x:row r="285" ht="22" customHeight="1">
      <x:c r="A285" t="n">
        <x:v>2025</x:v>
      </x:c>
      <x:c r="B285" t="str">
        <x:v>县级</x:v>
      </x:c>
      <x:c r="C285" t="str">
        <x:v>吉安市</x:v>
      </x:c>
      <x:c r="D285" t="str">
        <x:v>遂川县</x:v>
      </x:c>
      <x:c r="E285" t="str">
        <x:v>人口就业与社保</x:v>
      </x:c>
      <x:c r="F285" t="str">
        <x:v>城镇常住人口_人</x:v>
      </x:c>
      <x:c r="G285" t="n">
        <x:v>213537</x:v>
      </x:c>
      <x:c r="H285" t="str">
        <x:v>人/亿元/元，按名称</x:v>
      </x:c>
      <x:c r="I285" t="str">
        <x:v>统计公报转录/政府官网</x:v>
      </x:c>
      <x:c r="J285" t="str">
        <x:v>2025年末或全年，依指标定义</x:v>
      </x:c>
      <x:c r="K285" t="str">
        <x:v>https://tjgb.hongheiku.com/xjtjgb/xj2020/73392.html</x:v>
      </x:c>
      <x:c r="L285" t="str">
        <x:v>县级2025统计公报。F/G为常住人口年龄结构；养老金参保人数不等于待遇领取人数。</x:v>
      </x:c>
    </x:row>
    <x:row r="286" ht="22" customHeight="1">
      <x:c r="A286" t="n">
        <x:v>2025</x:v>
      </x:c>
      <x:c r="B286" t="str">
        <x:v>县级</x:v>
      </x:c>
      <x:c r="C286" t="str">
        <x:v>吉安市</x:v>
      </x:c>
      <x:c r="D286" t="str">
        <x:v>遂川县</x:v>
      </x:c>
      <x:c r="E286" t="str">
        <x:v>人口就业与社保</x:v>
      </x:c>
      <x:c r="F286" t="str">
        <x:v>60岁及以上人口_人</x:v>
      </x:c>
      <x:c r="G286" t="n">
        <x:v>107329</x:v>
      </x:c>
      <x:c r="H286" t="str">
        <x:v>人/亿元/元，按名称</x:v>
      </x:c>
      <x:c r="I286" t="str">
        <x:v>统计公报转录/政府官网</x:v>
      </x:c>
      <x:c r="J286" t="str">
        <x:v>2025年末或全年，依指标定义</x:v>
      </x:c>
      <x:c r="K286" t="str">
        <x:v>https://tjgb.hongheiku.com/xjtjgb/xj2020/73392.html</x:v>
      </x:c>
      <x:c r="L286" t="str">
        <x:v>县级2025统计公报。F/G为常住人口年龄结构；养老金参保人数不等于待遇领取人数。</x:v>
      </x:c>
    </x:row>
    <x:row r="287" ht="22" customHeight="1">
      <x:c r="A287" t="n">
        <x:v>2025</x:v>
      </x:c>
      <x:c r="B287" t="str">
        <x:v>县级</x:v>
      </x:c>
      <x:c r="C287" t="str">
        <x:v>吉安市</x:v>
      </x:c>
      <x:c r="D287" t="str">
        <x:v>遂川县</x:v>
      </x:c>
      <x:c r="E287" t="str">
        <x:v>人口就业与社保</x:v>
      </x:c>
      <x:c r="F287" t="str">
        <x:v>65岁及以上人口_人</x:v>
      </x:c>
      <x:c r="G287" t="n">
        <x:v>72055</x:v>
      </x:c>
      <x:c r="H287" t="str">
        <x:v>人/亿元/元，按名称</x:v>
      </x:c>
      <x:c r="I287" t="str">
        <x:v>统计公报转录/政府官网</x:v>
      </x:c>
      <x:c r="J287" t="str">
        <x:v>2025年末或全年，依指标定义</x:v>
      </x:c>
      <x:c r="K287" t="str">
        <x:v>https://tjgb.hongheiku.com/xjtjgb/xj2020/73392.html</x:v>
      </x:c>
      <x:c r="L287" t="str">
        <x:v>县级2025统计公报。F/G为常住人口年龄结构；养老金参保人数不等于待遇领取人数。</x:v>
      </x:c>
    </x:row>
    <x:row r="288" ht="22" customHeight="1">
      <x:c r="A288" t="n">
        <x:v>2025</x:v>
      </x:c>
      <x:c r="B288" t="str">
        <x:v>县级</x:v>
      </x:c>
      <x:c r="C288" t="str">
        <x:v>吉安市</x:v>
      </x:c>
      <x:c r="D288" t="str">
        <x:v>遂川县</x:v>
      </x:c>
      <x:c r="E288" t="str">
        <x:v>人口就业与社保</x:v>
      </x:c>
      <x:c r="F288" t="str">
        <x:v>GDP_亿元</x:v>
      </x:c>
      <x:c r="G288" t="n">
        <x:v>274.3</x:v>
      </x:c>
      <x:c r="H288" t="str">
        <x:v>人/亿元/元，按名称</x:v>
      </x:c>
      <x:c r="I288" t="str">
        <x:v>统计公报转录/政府官网</x:v>
      </x:c>
      <x:c r="J288" t="str">
        <x:v>2025年末或全年，依指标定义</x:v>
      </x:c>
      <x:c r="K288" t="str">
        <x:v>https://tjgb.hongheiku.com/xjtjgb/xj2020/73392.html</x:v>
      </x:c>
      <x:c r="L288" t="str">
        <x:v>县级2025统计公报。F/G为常住人口年龄结构；养老金参保人数不等于待遇领取人数。</x:v>
      </x:c>
    </x:row>
    <x:row r="289" ht="22" customHeight="1">
      <x:c r="A289" t="n">
        <x:v>2025</x:v>
      </x:c>
      <x:c r="B289" t="str">
        <x:v>县级</x:v>
      </x:c>
      <x:c r="C289" t="str">
        <x:v>吉安市</x:v>
      </x:c>
      <x:c r="D289" t="str">
        <x:v>遂川县</x:v>
      </x:c>
      <x:c r="E289" t="str">
        <x:v>人口就业与社保</x:v>
      </x:c>
      <x:c r="F289" t="str">
        <x:v>城镇新增就业_人</x:v>
      </x:c>
      <x:c r="G289" t="n">
        <x:v>4412</x:v>
      </x:c>
      <x:c r="H289" t="str">
        <x:v>人/亿元/元，按名称</x:v>
      </x:c>
      <x:c r="I289" t="str">
        <x:v>统计公报转录/政府官网</x:v>
      </x:c>
      <x:c r="J289" t="str">
        <x:v>2025年末或全年，依指标定义</x:v>
      </x:c>
      <x:c r="K289" t="str">
        <x:v>https://tjgb.hongheiku.com/xjtjgb/xj2020/73392.html</x:v>
      </x:c>
      <x:c r="L289" t="str">
        <x:v>县级2025统计公报。F/G为常住人口年龄结构；养老金参保人数不等于待遇领取人数。</x:v>
      </x:c>
    </x:row>
    <x:row r="290" ht="22" customHeight="1">
      <x:c r="A290" t="n">
        <x:v>2025</x:v>
      </x:c>
      <x:c r="B290" t="str">
        <x:v>县级</x:v>
      </x:c>
      <x:c r="C290" t="str">
        <x:v>吉安市</x:v>
      </x:c>
      <x:c r="D290" t="str">
        <x:v>遂川县</x:v>
      </x:c>
      <x:c r="E290" t="str">
        <x:v>人口就业与社保</x:v>
      </x:c>
      <x:c r="F290" t="str">
        <x:v>失业人员再就业_人</x:v>
      </x:c>
      <x:c r="G290" t="n">
        <x:v>1867</x:v>
      </x:c>
      <x:c r="H290" t="str">
        <x:v>人/亿元/元，按名称</x:v>
      </x:c>
      <x:c r="I290" t="str">
        <x:v>统计公报转录/政府官网</x:v>
      </x:c>
      <x:c r="J290" t="str">
        <x:v>2025年末或全年，依指标定义</x:v>
      </x:c>
      <x:c r="K290" t="str">
        <x:v>https://tjgb.hongheiku.com/xjtjgb/xj2020/73392.html</x:v>
      </x:c>
      <x:c r="L290" t="str">
        <x:v>县级2025统计公报。F/G为常住人口年龄结构；养老金参保人数不等于待遇领取人数。</x:v>
      </x:c>
    </x:row>
    <x:row r="291" ht="22" customHeight="1">
      <x:c r="A291" t="n">
        <x:v>2025</x:v>
      </x:c>
      <x:c r="B291" t="str">
        <x:v>县级</x:v>
      </x:c>
      <x:c r="C291" t="str">
        <x:v>吉安市</x:v>
      </x:c>
      <x:c r="D291" t="str">
        <x:v>遂川县</x:v>
      </x:c>
      <x:c r="E291" t="str">
        <x:v>人口就业与社保</x:v>
      </x:c>
      <x:c r="F291" t="str">
        <x:v>就业困难人员就业_人</x:v>
      </x:c>
      <x:c r="G291" t="n">
        <x:v>1109</x:v>
      </x:c>
      <x:c r="H291" t="str">
        <x:v>人/亿元/元，按名称</x:v>
      </x:c>
      <x:c r="I291" t="str">
        <x:v>统计公报转录/政府官网</x:v>
      </x:c>
      <x:c r="J291" t="str">
        <x:v>2025年末或全年，依指标定义</x:v>
      </x:c>
      <x:c r="K291" t="str">
        <x:v>https://tjgb.hongheiku.com/xjtjgb/xj2020/73392.html</x:v>
      </x:c>
      <x:c r="L291" t="str">
        <x:v>县级2025统计公报。F/G为常住人口年龄结构；养老金参保人数不等于待遇领取人数。</x:v>
      </x:c>
    </x:row>
    <x:row r="292" ht="22" customHeight="1">
      <x:c r="A292" t="n">
        <x:v>2025</x:v>
      </x:c>
      <x:c r="B292" t="str">
        <x:v>县级</x:v>
      </x:c>
      <x:c r="C292" t="str">
        <x:v>吉安市</x:v>
      </x:c>
      <x:c r="D292" t="str">
        <x:v>遂川县</x:v>
      </x:c>
      <x:c r="E292" t="str">
        <x:v>人口就业与社保</x:v>
      </x:c>
      <x:c r="F292" t="str">
        <x:v>城镇居民人均可支配收入_元</x:v>
      </x:c>
      <x:c r="G292" t="n">
        <x:v>40603</x:v>
      </x:c>
      <x:c r="H292" t="str">
        <x:v>人/亿元/元，按名称</x:v>
      </x:c>
      <x:c r="I292" t="str">
        <x:v>统计公报转录/政府官网</x:v>
      </x:c>
      <x:c r="J292" t="str">
        <x:v>2025年末或全年，依指标定义</x:v>
      </x:c>
      <x:c r="K292" t="str">
        <x:v>https://tjgb.hongheiku.com/xjtjgb/xj2020/73392.html</x:v>
      </x:c>
      <x:c r="L292" t="str">
        <x:v>县级2025统计公报。F/G为常住人口年龄结构；养老金参保人数不等于待遇领取人数。</x:v>
      </x:c>
    </x:row>
    <x:row r="293" ht="22" customHeight="1">
      <x:c r="A293" t="n">
        <x:v>2025</x:v>
      </x:c>
      <x:c r="B293" t="str">
        <x:v>县级</x:v>
      </x:c>
      <x:c r="C293" t="str">
        <x:v>吉安市</x:v>
      </x:c>
      <x:c r="D293" t="str">
        <x:v>遂川县</x:v>
      </x:c>
      <x:c r="E293" t="str">
        <x:v>人口就业与社保</x:v>
      </x:c>
      <x:c r="F293" t="str">
        <x:v>农村居民人均可支配收入_元</x:v>
      </x:c>
      <x:c r="G293" t="n">
        <x:v>20334</x:v>
      </x:c>
      <x:c r="H293" t="str">
        <x:v>人/亿元/元，按名称</x:v>
      </x:c>
      <x:c r="I293" t="str">
        <x:v>统计公报转录/政府官网</x:v>
      </x:c>
      <x:c r="J293" t="str">
        <x:v>2025年末或全年，依指标定义</x:v>
      </x:c>
      <x:c r="K293" t="str">
        <x:v>https://tjgb.hongheiku.com/xjtjgb/xj2020/73392.html</x:v>
      </x:c>
      <x:c r="L293" t="str">
        <x:v>县级2025统计公报。F/G为常住人口年龄结构；养老金参保人数不等于待遇领取人数。</x:v>
      </x:c>
    </x:row>
    <x:row r="294" ht="22" customHeight="1">
      <x:c r="A294" t="n">
        <x:v>2025</x:v>
      </x:c>
      <x:c r="B294" t="str">
        <x:v>县级</x:v>
      </x:c>
      <x:c r="C294" t="str">
        <x:v>吉安市</x:v>
      </x:c>
      <x:c r="D294" t="str">
        <x:v>遂川县</x:v>
      </x:c>
      <x:c r="E294" t="str">
        <x:v>人口就业与社保</x:v>
      </x:c>
      <x:c r="F294" t="str">
        <x:v>企业职工养老参保_人</x:v>
      </x:c>
      <x:c r="G294" t="n">
        <x:v>98193</x:v>
      </x:c>
      <x:c r="H294" t="str">
        <x:v>人/亿元/元，按名称</x:v>
      </x:c>
      <x:c r="I294" t="str">
        <x:v>统计公报转录/政府官网</x:v>
      </x:c>
      <x:c r="J294" t="str">
        <x:v>2025年末或全年，依指标定义</x:v>
      </x:c>
      <x:c r="K294" t="str">
        <x:v>https://tjgb.hongheiku.com/xjtjgb/xj2020/73392.html</x:v>
      </x:c>
      <x:c r="L294" t="str">
        <x:v>县级2025统计公报。F/G为常住人口年龄结构；养老金参保人数不等于待遇领取人数。</x:v>
      </x:c>
    </x:row>
    <x:row r="295" ht="22" customHeight="1">
      <x:c r="A295" t="n">
        <x:v>2025</x:v>
      </x:c>
      <x:c r="B295" t="str">
        <x:v>县级</x:v>
      </x:c>
      <x:c r="C295" t="str">
        <x:v>吉安市</x:v>
      </x:c>
      <x:c r="D295" t="str">
        <x:v>遂川县</x:v>
      </x:c>
      <x:c r="E295" t="str">
        <x:v>人口就业与社保</x:v>
      </x:c>
      <x:c r="F295" t="str">
        <x:v>城乡居民养老参保_人</x:v>
      </x:c>
      <x:c r="G295" t="n">
        <x:v>301228</x:v>
      </x:c>
      <x:c r="H295" t="str">
        <x:v>人/亿元/元，按名称</x:v>
      </x:c>
      <x:c r="I295" t="str">
        <x:v>统计公报转录/政府官网</x:v>
      </x:c>
      <x:c r="J295" t="str">
        <x:v>2025年末或全年，依指标定义</x:v>
      </x:c>
      <x:c r="K295" t="str">
        <x:v>https://tjgb.hongheiku.com/xjtjgb/xj2020/73392.html</x:v>
      </x:c>
      <x:c r="L295" t="str">
        <x:v>县级2025统计公报。F/G为常住人口年龄结构；养老金参保人数不等于待遇领取人数。</x:v>
      </x:c>
    </x:row>
    <x:row r="296" ht="22" customHeight="1">
      <x:c r="A296" t="n">
        <x:v>2025</x:v>
      </x:c>
      <x:c r="B296" t="str">
        <x:v>县级</x:v>
      </x:c>
      <x:c r="C296" t="str">
        <x:v>赣州市</x:v>
      </x:c>
      <x:c r="D296" t="str">
        <x:v>石城县</x:v>
      </x:c>
      <x:c r="E296" t="str">
        <x:v>人口就业与社保</x:v>
      </x:c>
      <x:c r="F296" t="str">
        <x:v>城镇常住人口_人</x:v>
      </x:c>
      <x:c r="G296" t="n">
        <x:v>149600</x:v>
      </x:c>
      <x:c r="H296" t="str">
        <x:v>人/亿元/元，按名称</x:v>
      </x:c>
      <x:c r="I296" t="str">
        <x:v>统计公报转录/政府官网</x:v>
      </x:c>
      <x:c r="J296" t="str">
        <x:v>2025年末或全年，依指标定义</x:v>
      </x:c>
      <x:c r="K296" t="str">
        <x:v>https://www.shicheng.gov.cn/scxxxgk/tjgb/202604/adc5c0bf738b43f3b5b80a2693d08ed4.shtml</x:v>
      </x:c>
      <x:c r="L296" t="str">
        <x:v>2025县政府统计公报。D/E万人两位小数换算；另有户籍60岁及以上61421人，不能混入常住年龄结构。</x:v>
      </x:c>
    </x:row>
    <x:row r="297" ht="22" customHeight="1">
      <x:c r="A297" t="n">
        <x:v>2025</x:v>
      </x:c>
      <x:c r="B297" t="str">
        <x:v>县级</x:v>
      </x:c>
      <x:c r="C297" t="str">
        <x:v>赣州市</x:v>
      </x:c>
      <x:c r="D297" t="str">
        <x:v>石城县</x:v>
      </x:c>
      <x:c r="E297" t="str">
        <x:v>人口就业与社保</x:v>
      </x:c>
      <x:c r="F297" t="str">
        <x:v>户籍人口_人</x:v>
      </x:c>
      <x:c r="G297" t="n">
        <x:v>327427</x:v>
      </x:c>
      <x:c r="H297" t="str">
        <x:v>人/亿元/元，按名称</x:v>
      </x:c>
      <x:c r="I297" t="str">
        <x:v>统计公报转录/政府官网</x:v>
      </x:c>
      <x:c r="J297" t="str">
        <x:v>2025年末或全年，依指标定义</x:v>
      </x:c>
      <x:c r="K297" t="str">
        <x:v>https://www.shicheng.gov.cn/scxxxgk/tjgb/202604/adc5c0bf738b43f3b5b80a2693d08ed4.shtml</x:v>
      </x:c>
      <x:c r="L297" t="str">
        <x:v>2025县政府统计公报。D/E万人两位小数换算；另有户籍60岁及以上61421人，不能混入常住年龄结构。</x:v>
      </x:c>
    </x:row>
    <x:row r="298" ht="22" customHeight="1">
      <x:c r="A298" t="n">
        <x:v>2025</x:v>
      </x:c>
      <x:c r="B298" t="str">
        <x:v>县级</x:v>
      </x:c>
      <x:c r="C298" t="str">
        <x:v>赣州市</x:v>
      </x:c>
      <x:c r="D298" t="str">
        <x:v>石城县</x:v>
      </x:c>
      <x:c r="E298" t="str">
        <x:v>人口就业与社保</x:v>
      </x:c>
      <x:c r="F298" t="str">
        <x:v>GDP_亿元</x:v>
      </x:c>
      <x:c r="G298" t="n">
        <x:v>120.7736</x:v>
      </x:c>
      <x:c r="H298" t="str">
        <x:v>人/亿元/元，按名称</x:v>
      </x:c>
      <x:c r="I298" t="str">
        <x:v>统计公报转录/政府官网</x:v>
      </x:c>
      <x:c r="J298" t="str">
        <x:v>2025年末或全年，依指标定义</x:v>
      </x:c>
      <x:c r="K298" t="str">
        <x:v>https://www.shicheng.gov.cn/scxxxgk/tjgb/202604/adc5c0bf738b43f3b5b80a2693d08ed4.shtml</x:v>
      </x:c>
      <x:c r="L298" t="str">
        <x:v>2025县政府统计公报。D/E万人两位小数换算；另有户籍60岁及以上61421人，不能混入常住年龄结构。</x:v>
      </x:c>
    </x:row>
    <x:row r="299" ht="22" customHeight="1">
      <x:c r="A299" t="n">
        <x:v>2025</x:v>
      </x:c>
      <x:c r="B299" t="str">
        <x:v>县级</x:v>
      </x:c>
      <x:c r="C299" t="str">
        <x:v>赣州市</x:v>
      </x:c>
      <x:c r="D299" t="str">
        <x:v>石城县</x:v>
      </x:c>
      <x:c r="E299" t="str">
        <x:v>人口就业与社保</x:v>
      </x:c>
      <x:c r="F299" t="str">
        <x:v>城镇新增就业_人</x:v>
      </x:c>
      <x:c r="G299" t="n">
        <x:v>1410</x:v>
      </x:c>
      <x:c r="H299" t="str">
        <x:v>人/亿元/元，按名称</x:v>
      </x:c>
      <x:c r="I299" t="str">
        <x:v>统计公报转录/政府官网</x:v>
      </x:c>
      <x:c r="J299" t="str">
        <x:v>2025年末或全年，依指标定义</x:v>
      </x:c>
      <x:c r="K299" t="str">
        <x:v>https://www.shicheng.gov.cn/scxxxgk/tjgb/202604/adc5c0bf738b43f3b5b80a2693d08ed4.shtml</x:v>
      </x:c>
      <x:c r="L299" t="str">
        <x:v>2025县政府统计公报。D/E万人两位小数换算；另有户籍60岁及以上61421人，不能混入常住年龄结构。</x:v>
      </x:c>
    </x:row>
    <x:row r="300" ht="22" customHeight="1">
      <x:c r="A300" t="n">
        <x:v>2025</x:v>
      </x:c>
      <x:c r="B300" t="str">
        <x:v>县级</x:v>
      </x:c>
      <x:c r="C300" t="str">
        <x:v>赣州市</x:v>
      </x:c>
      <x:c r="D300" t="str">
        <x:v>石城县</x:v>
      </x:c>
      <x:c r="E300" t="str">
        <x:v>人口就业与社保</x:v>
      </x:c>
      <x:c r="F300" t="str">
        <x:v>城镇居民人均可支配收入_元</x:v>
      </x:c>
      <x:c r="G300" t="n">
        <x:v>37550</x:v>
      </x:c>
      <x:c r="H300" t="str">
        <x:v>人/亿元/元，按名称</x:v>
      </x:c>
      <x:c r="I300" t="str">
        <x:v>统计公报转录/政府官网</x:v>
      </x:c>
      <x:c r="J300" t="str">
        <x:v>2025年末或全年，依指标定义</x:v>
      </x:c>
      <x:c r="K300" t="str">
        <x:v>https://www.shicheng.gov.cn/scxxxgk/tjgb/202604/adc5c0bf738b43f3b5b80a2693d08ed4.shtml</x:v>
      </x:c>
      <x:c r="L300" t="str">
        <x:v>2025县政府统计公报。D/E万人两位小数换算；另有户籍60岁及以上61421人，不能混入常住年龄结构。</x:v>
      </x:c>
    </x:row>
    <x:row r="301" ht="22" customHeight="1">
      <x:c r="A301" t="n">
        <x:v>2025</x:v>
      </x:c>
      <x:c r="B301" t="str">
        <x:v>县级</x:v>
      </x:c>
      <x:c r="C301" t="str">
        <x:v>赣州市</x:v>
      </x:c>
      <x:c r="D301" t="str">
        <x:v>石城县</x:v>
      </x:c>
      <x:c r="E301" t="str">
        <x:v>人口就业与社保</x:v>
      </x:c>
      <x:c r="F301" t="str">
        <x:v>农村居民人均可支配收入_元</x:v>
      </x:c>
      <x:c r="G301" t="n">
        <x:v>19075</x:v>
      </x:c>
      <x:c r="H301" t="str">
        <x:v>人/亿元/元，按名称</x:v>
      </x:c>
      <x:c r="I301" t="str">
        <x:v>统计公报转录/政府官网</x:v>
      </x:c>
      <x:c r="J301" t="str">
        <x:v>2025年末或全年，依指标定义</x:v>
      </x:c>
      <x:c r="K301" t="str">
        <x:v>https://www.shicheng.gov.cn/scxxxgk/tjgb/202604/adc5c0bf738b43f3b5b80a2693d08ed4.shtml</x:v>
      </x:c>
      <x:c r="L301" t="str">
        <x:v>2025县政府统计公报。D/E万人两位小数换算；另有户籍60岁及以上61421人，不能混入常住年龄结构。</x:v>
      </x:c>
    </x:row>
    <x:row r="302" ht="22" customHeight="1">
      <x:c r="A302" t="n">
        <x:v>2025</x:v>
      </x:c>
      <x:c r="B302" t="str">
        <x:v>县级</x:v>
      </x:c>
      <x:c r="C302" t="str">
        <x:v>赣州市</x:v>
      </x:c>
      <x:c r="D302" t="str">
        <x:v>石城县</x:v>
      </x:c>
      <x:c r="E302" t="str">
        <x:v>人口就业与社保</x:v>
      </x:c>
      <x:c r="F302" t="str">
        <x:v>城乡居民养老参保_人</x:v>
      </x:c>
      <x:c r="G302" t="n">
        <x:v>152200</x:v>
      </x:c>
      <x:c r="H302" t="str">
        <x:v>人/亿元/元，按名称</x:v>
      </x:c>
      <x:c r="I302" t="str">
        <x:v>统计公报转录/政府官网</x:v>
      </x:c>
      <x:c r="J302" t="str">
        <x:v>2025年末或全年，依指标定义</x:v>
      </x:c>
      <x:c r="K302" t="str">
        <x:v>https://www.shicheng.gov.cn/scxxxgk/tjgb/202604/adc5c0bf738b43f3b5b80a2693d08ed4.shtml</x:v>
      </x:c>
      <x:c r="L302" t="str">
        <x:v>2025县政府统计公报。D/E万人两位小数换算；另有户籍60岁及以上61421人，不能混入常住年龄结构。</x:v>
      </x:c>
    </x:row>
  </x:sheetData>
  <x:pageMargins left="0.7" right="0.7" top="0.75" bottom="0.75" header="0.3" footer="0.3"/>
  <x:tableParts count="1">
    <x:tablePart xmlns:r="http://schemas.openxmlformats.org/officeDocument/2006/relationships" r:id="Rd967f94535634548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115" hidden="0" customWidth="1"/>
  </x:cols>
  <x:sheetData>
    <x:row r="1" ht="32" customHeight="1">
      <x:c r="A1" s="6" t="str">
        <x:v>指标/事项</x:v>
      </x:c>
      <x:c r="B1" s="6" t="str">
        <x:v>定义与审计说明</x:v>
      </x:c>
    </x:row>
    <x:row r="2" ht="30" customHeight="1">
      <x:c r="A2" t="str">
        <x:v>研究范围</x:v>
      </x:c>
      <x:c r="B2" t="str">
        <x:v>江西省2025年末辖11个设区市、100个县级行政区（27区、12县级市、61县）；行政清单可直接筛选“县”。</x:v>
      </x:c>
    </x:row>
    <x:row r="3" ht="30" customHeight="1">
      <x:c r="A3" t="str">
        <x:v>统计年度</x:v>
      </x:c>
      <x:c r="B3" t="str">
        <x:v>2025年。发表年份可能是2026年；各数据按实际统计期，不按网页发布年归档。</x:v>
      </x:c>
    </x:row>
    <x:row r="4" ht="30" customHeight="1">
      <x:c r="A4" t="str">
        <x:v>缺失含义</x:v>
      </x:c>
      <x:c r="B4" t="str">
        <x:v>所有空白均表示“本次未检索/未核实/未披露”，绝不代表0。</x:v>
      </x:c>
    </x:row>
    <x:row r="5" ht="30" customHeight="1">
      <x:c r="A5" t="str">
        <x:v>参保≠领取</x:v>
      </x:c>
      <x:c r="B5" t="str">
        <x:v>职工或城乡居民参保人数与享受待遇人数不同；禁止把参保人数做月均养老金分母。</x:v>
      </x:c>
    </x:row>
    <x:row r="6" ht="30" customHeight="1">
      <x:c r="A6" t="str">
        <x:v>养老金分类</x:v>
      </x:c>
      <x:c r="B6" t="str">
        <x:v>企业职工基本养老保险；机关事业单位基本养老保险；城乡居民基本养老保险。</x:v>
      </x:c>
    </x:row>
    <x:row r="7" ht="30" customHeight="1">
      <x:c r="A7" t="str">
        <x:v>养老金发放单位</x:v>
      </x:c>
      <x:c r="B7" t="str">
        <x:v>本文件县级直接待遇发放统一“万元”；金额包括2025年全年累计。</x:v>
      </x:c>
    </x:row>
    <x:row r="8" ht="30" customHeight="1">
      <x:c r="A8" t="str">
        <x:v>人均月待遇公式</x:v>
      </x:c>
      <x:c r="B8" t="str">
        <x:v>仅县级同时有该类年度养老金发放额及待遇领取人数时计算：年度发放(万元)×10000÷(人数×12)。</x:v>
      </x:c>
    </x:row>
    <x:row r="9" ht="30" customHeight="1">
      <x:c r="A9" t="str">
        <x:v>人均近似限制</x:v>
      </x:c>
      <x:c r="B9" t="str">
        <x:v>退休人数通常是年末时点人数，年度支出是全年现金流，简单相除只是估算，存在年内增减员误差。</x:v>
      </x:c>
    </x:row>
    <x:row r="10" ht="30" customHeight="1">
      <x:c r="A10" t="str">
        <x:v>政府金额占比</x:v>
      </x:c>
      <x:c r="B10" t="str">
        <x:v>金额占比：机关事业养老金发放额÷（企业+机关事业+居民养老金发放额）；只有三项齐全时计算。</x:v>
      </x:c>
    </x:row>
    <x:row r="11" ht="30" customHeight="1">
      <x:c r="A11" t="str">
        <x:v>政府人数占比</x:v>
      </x:c>
      <x:c r="B11" t="str">
        <x:v>人数占比：机关事业领取人数÷（企业+机关事业+居民待遇领取人数）；只有三项齐全时计算。</x:v>
      </x:c>
    </x:row>
    <x:row r="12" ht="30" customHeight="1">
      <x:c r="A12" t="str">
        <x:v>基金支出不等于待遇</x:v>
      </x:c>
      <x:c r="B12" t="str">
        <x:v>县级社保基金预算执行支出（如机关/居民）可能含其他法定支付或管理口径，不应当作养老金实际发放。</x:v>
      </x:c>
    </x:row>
    <x:row r="13" ht="30" customHeight="1">
      <x:c r="A13" t="str">
        <x:v>城乡居民基金和城镇基金</x:v>
      </x:c>
      <x:c r="B13" t="str">
        <x:v>居民与职工制度筹资方式、计发规则差异大，比较需控制缴费年限、缴费金额、财政补贴、职业年金。</x:v>
      </x:c>
    </x:row>
    <x:row r="14" ht="30" customHeight="1">
      <x:c r="A14" t="str">
        <x:v>县级公积金空缺</x:v>
      </x:c>
      <x:c r="B14" t="str">
        <x:v>省级年度报告附11市公积金缴存/提取/贷款数据；不是100县级数据，不能按人口比例无依据分摊。</x:v>
      </x:c>
    </x:row>
    <x:row r="15" ht="30" customHeight="1">
      <x:c r="A15" t="str">
        <x:v>公积金实缴人数</x:v>
      </x:c>
      <x:c r="B15" t="str">
        <x:v>报告为2025年实缴人数（万人），缴存额、提取额、贷款额为年度流量（亿元）；余额为年末存量。</x:v>
      </x:c>
    </x:row>
    <x:row r="16" ht="30" customHeight="1">
      <x:c r="A16" t="str">
        <x:v>公积金人均公式</x:v>
      </x:c>
      <x:c r="B16" t="str">
        <x:v>2025缴存额(亿元)÷实缴人数(万人)×10000，得到近似年人均缴存额(元)，并除以12得到月均。</x:v>
      </x:c>
    </x:row>
    <x:row r="17" ht="30" customHeight="1">
      <x:c r="A17" t="str">
        <x:v>人口时点</x:v>
      </x:c>
      <x:c r="B17" t="str">
        <x:v>年末常住人口、户籍人口，城乡人口和60+/65+年龄人数为不同统计口径，不应混加。</x:v>
      </x:c>
    </x:row>
    <x:row r="18" ht="30" customHeight="1">
      <x:c r="A18" t="str">
        <x:v>就业时间</x:v>
      </x:c>
      <x:c r="B18" t="str">
        <x:v>城镇新增就业/再就业一般为全年累计，不能当年末就业存量，更不能当失业率。</x:v>
      </x:c>
    </x:row>
    <x:row r="19" ht="30" customHeight="1">
      <x:c r="A19" t="str">
        <x:v>职工参保口径差异</x:v>
      </x:c>
      <x:c r="B19" t="str">
        <x:v>部分县“职工养老参保”包含在职+离退休，部分县只报在职；特别关注永丰、武宁、婺源及湘东各行备注。</x:v>
      </x:c>
    </x:row>
    <x:row r="20" ht="30" customHeight="1">
      <x:c r="A20" t="str">
        <x:v>区域交叉边界</x:v>
      </x:c>
      <x:c r="B20" t="str">
        <x:v>吉安县2025统计公报除教育部分外数据不含井冈山经开区；比较时避免行政归属错配。</x:v>
      </x:c>
    </x:row>
    <x:row r="21" ht="30" customHeight="1">
      <x:c r="A21" t="str">
        <x:v>资料可靠性</x:v>
      </x:c>
      <x:c r="B21" t="str">
        <x:v>优先政府官网、统计局；其次公报转载。转载文本标记“二次转载”，可追溯URL，必要时回源核验。</x:v>
      </x:c>
    </x:row>
    <x:row r="22" ht="30" customHeight="1">
      <x:c r="A22" t="str">
        <x:v>版本声明</x:v>
      </x:c>
      <x:c r="B22" t="str">
        <x:v>2026-10-27整理的公开数据研究工作簿，县区指标并非100%覆盖，新增官方数据可按“指标证据明细”逐条补录。</x:v>
      </x:c>
    </x:row>
  </x:sheetData>
  <x:pageMargins left="0.7" right="0.7" top="0.75" bottom="0.75" header="0.3" footer="0.3"/>
  <x:tableParts count="1">
    <x:tablePart xmlns:r="http://schemas.openxmlformats.org/officeDocument/2006/relationships" r:id="Rb81d22657a0848d8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2" hidden="0" customWidth="1"/>
    <x:col min="5" max="5" width="21" hidden="0" customWidth="1"/>
    <x:col min="6" max="6" width="50" hidden="0" customWidth="1"/>
    <x:col min="7" max="7" width="65" hidden="0" customWidth="1"/>
    <x:col min="8" max="8" width="17" hidden="0" customWidth="1"/>
  </x:cols>
  <x:sheetData>
    <x:row r="1" ht="32" customHeight="1">
      <x:c r="A1" s="6" t="str">
        <x:v>地级市</x:v>
      </x:c>
      <x:c r="B1" s="6" t="str">
        <x:v>县区</x:v>
      </x:c>
      <x:c r="C1" s="6" t="str">
        <x:v>行政类型</x:v>
      </x:c>
      <x:c r="D1" s="6" t="str">
        <x:v>已收集的2025指标数</x:v>
      </x:c>
      <x:c r="E1" s="6" t="str">
        <x:v>进度状态</x:v>
      </x:c>
      <x:c r="F1" s="6" t="str">
        <x:v>下一步重点</x:v>
      </x:c>
      <x:c r="G1" s="6" t="str">
        <x:v>建议检索词</x:v>
      </x:c>
      <x:c r="H1" s="6" t="str">
        <x:v>来源登记状态</x:v>
      </x:c>
    </x:row>
    <x:row r="2" ht="21" customHeight="1">
      <x:c r="A2" t="str">
        <x:v>南昌市</x:v>
      </x:c>
      <x:c r="B2" t="str">
        <x:v>东湖区</x:v>
      </x:c>
      <x:c r="C2" t="str">
        <x:v>区</x:v>
      </x:c>
      <x:c r="D2" t="n">
        <x:f>'县级总表2025'!AB2</x:f>
        <x:v>0</x:v>
      </x:c>
      <x:c r="E2" t="str">
        <x:f>IF(D2&gt;=12,"已收集较多",IF(D2&gt;0,"部分已核实","待采集"))</x:f>
        <x:v>待采集</x:v>
      </x:c>
      <x:c r="F2" t="str">
        <x:v>优先检索2025统计公报、财政养老基金及退休人数</x:v>
      </x:c>
      <x:c r="G2" t="str">
        <x:v>东湖区 2025年 国民经济和社会发展统计公报 机关事业单位退休 人数 养老金 发放 公积金</x:v>
      </x:c>
      <x:c r="H2" t="str">
        <x:v>待核实</x:v>
      </x:c>
    </x:row>
    <x:row r="3" ht="21" customHeight="1">
      <x:c r="A3" t="str">
        <x:v>南昌市</x:v>
      </x:c>
      <x:c r="B3" t="str">
        <x:v>西湖区</x:v>
      </x:c>
      <x:c r="C3" t="str">
        <x:v>区</x:v>
      </x:c>
      <x:c r="D3" t="n">
        <x:f>'县级总表2025'!AB3</x:f>
        <x:v>0</x:v>
      </x:c>
      <x:c r="E3" t="str">
        <x:f>IF(D3&gt;=12,"已收集较多",IF(D3&gt;0,"部分已核实","待采集"))</x:f>
        <x:v>待采集</x:v>
      </x:c>
      <x:c r="F3" t="str">
        <x:v>优先检索2025统计公报、财政养老基金及退休人数</x:v>
      </x:c>
      <x:c r="G3" t="str">
        <x:v>西湖区 2025年 国民经济和社会发展统计公报 机关事业单位退休 人数 养老金 发放 公积金</x:v>
      </x:c>
      <x:c r="H3" t="str">
        <x:v>待核实</x:v>
      </x:c>
    </x:row>
    <x:row r="4" ht="21" customHeight="1">
      <x:c r="A4" t="str">
        <x:v>南昌市</x:v>
      </x:c>
      <x:c r="B4" t="str">
        <x:v>青云谱区</x:v>
      </x:c>
      <x:c r="C4" t="str">
        <x:v>区</x:v>
      </x:c>
      <x:c r="D4" t="n">
        <x:f>'县级总表2025'!AB4</x:f>
        <x:v>0</x:v>
      </x:c>
      <x:c r="E4" t="str">
        <x:f>IF(D4&gt;=12,"已收集较多",IF(D4&gt;0,"部分已核实","待采集"))</x:f>
        <x:v>待采集</x:v>
      </x:c>
      <x:c r="F4" t="str">
        <x:v>优先检索2025统计公报、财政养老基金及退休人数</x:v>
      </x:c>
      <x:c r="G4" t="str">
        <x:v>青云谱区 2025年 国民经济和社会发展统计公报 机关事业单位退休 人数 养老金 发放 公积金</x:v>
      </x:c>
      <x:c r="H4" t="str">
        <x:v>待核实</x:v>
      </x:c>
    </x:row>
    <x:row r="5" ht="21" customHeight="1">
      <x:c r="A5" t="str">
        <x:v>南昌市</x:v>
      </x:c>
      <x:c r="B5" t="str">
        <x:v>青山湖区</x:v>
      </x:c>
      <x:c r="C5" t="str">
        <x:v>区</x:v>
      </x:c>
      <x:c r="D5" t="n">
        <x:f>'县级总表2025'!AB5</x:f>
        <x:v>0</x:v>
      </x:c>
      <x:c r="E5" t="str">
        <x:f>IF(D5&gt;=12,"已收集较多",IF(D5&gt;0,"部分已核实","待采集"))</x:f>
        <x:v>待采集</x:v>
      </x:c>
      <x:c r="F5" t="str">
        <x:v>优先检索2025统计公报、财政养老基金及退休人数</x:v>
      </x:c>
      <x:c r="G5" t="str">
        <x:v>青山湖区 2025年 国民经济和社会发展统计公报 机关事业单位退休 人数 养老金 发放 公积金</x:v>
      </x:c>
      <x:c r="H5" t="str">
        <x:v>待核实</x:v>
      </x:c>
    </x:row>
    <x:row r="6" ht="21" customHeight="1">
      <x:c r="A6" t="str">
        <x:v>南昌市</x:v>
      </x:c>
      <x:c r="B6" t="str">
        <x:v>新建区</x:v>
      </x:c>
      <x:c r="C6" t="str">
        <x:v>区</x:v>
      </x:c>
      <x:c r="D6" t="n">
        <x:f>'县级总表2025'!AB6</x:f>
        <x:v>0</x:v>
      </x:c>
      <x:c r="E6" t="str">
        <x:f>IF(D6&gt;=12,"已收集较多",IF(D6&gt;0,"部分已核实","待采集"))</x:f>
        <x:v>待采集</x:v>
      </x:c>
      <x:c r="F6" t="str">
        <x:v>优先检索2025统计公报、财政养老基金及退休人数</x:v>
      </x:c>
      <x:c r="G6" t="str">
        <x:v>新建区 2025年 国民经济和社会发展统计公报 机关事业单位退休 人数 养老金 发放 公积金</x:v>
      </x:c>
      <x:c r="H6" t="str">
        <x:v>待核实</x:v>
      </x:c>
    </x:row>
    <x:row r="7" ht="21" customHeight="1">
      <x:c r="A7" t="str">
        <x:v>南昌市</x:v>
      </x:c>
      <x:c r="B7" t="str">
        <x:v>红谷滩区</x:v>
      </x:c>
      <x:c r="C7" t="str">
        <x:v>区</x:v>
      </x:c>
      <x:c r="D7" t="n">
        <x:f>'县级总表2025'!AB7</x:f>
        <x:v>0</x:v>
      </x:c>
      <x:c r="E7" t="str">
        <x:f>IF(D7&gt;=12,"已收集较多",IF(D7&gt;0,"部分已核实","待采集"))</x:f>
        <x:v>待采集</x:v>
      </x:c>
      <x:c r="F7" t="str">
        <x:v>优先检索2025统计公报、财政养老基金及退休人数</x:v>
      </x:c>
      <x:c r="G7" t="str">
        <x:v>红谷滩区 2025年 国民经济和社会发展统计公报 机关事业单位退休 人数 养老金 发放 公积金</x:v>
      </x:c>
      <x:c r="H7" t="str">
        <x:v>待核实</x:v>
      </x:c>
    </x:row>
    <x:row r="8" ht="21" customHeight="1">
      <x:c r="A8" t="str">
        <x:v>南昌市</x:v>
      </x:c>
      <x:c r="B8" t="str">
        <x:v>南昌县</x:v>
      </x:c>
      <x:c r="C8" t="str">
        <x:v>县</x:v>
      </x:c>
      <x:c r="D8" t="n">
        <x:f>'县级总表2025'!AB8</x:f>
        <x:v>5</x:v>
      </x:c>
      <x:c r="E8" t="str">
        <x:f>IF(D8&gt;=12,"已收集较多",IF(D8&gt;0,"部分已核实","待采集"))</x:f>
        <x:v>部分已核实</x:v>
      </x:c>
      <x:c r="F8" t="str">
        <x:v>优先检索2025统计公报、财政养老基金及退休人数</x:v>
      </x:c>
      <x:c r="G8" t="str">
        <x:v>南昌县 2025年 国民经济和社会发展统计公报 机关事业单位退休 人数 养老金 发放 公积金</x:v>
      </x:c>
      <x:c r="H8" t="str">
        <x:v>有原始链接</x:v>
      </x:c>
    </x:row>
    <x:row r="9" ht="21" customHeight="1">
      <x:c r="A9" t="str">
        <x:v>南昌市</x:v>
      </x:c>
      <x:c r="B9" t="str">
        <x:v>安义县</x:v>
      </x:c>
      <x:c r="C9" t="str">
        <x:v>县</x:v>
      </x:c>
      <x:c r="D9" t="n">
        <x:f>'县级总表2025'!AB9</x:f>
        <x:v>0</x:v>
      </x:c>
      <x:c r="E9" t="str">
        <x:f>IF(D9&gt;=12,"已收集较多",IF(D9&gt;0,"部分已核实","待采集"))</x:f>
        <x:v>待采集</x:v>
      </x:c>
      <x:c r="F9" t="str">
        <x:v>优先检索2025统计公报、财政养老基金及退休人数</x:v>
      </x:c>
      <x:c r="G9" t="str">
        <x:v>安义县 2025年 国民经济和社会发展统计公报 机关事业单位退休 人数 养老金 发放 公积金</x:v>
      </x:c>
      <x:c r="H9" t="str">
        <x:v>待核实</x:v>
      </x:c>
    </x:row>
    <x:row r="10" ht="21" customHeight="1">
      <x:c r="A10" t="str">
        <x:v>南昌市</x:v>
      </x:c>
      <x:c r="B10" t="str">
        <x:v>进贤县</x:v>
      </x:c>
      <x:c r="C10" t="str">
        <x:v>县</x:v>
      </x:c>
      <x:c r="D10" t="n">
        <x:f>'县级总表2025'!AB10</x:f>
        <x:v>6</x:v>
      </x:c>
      <x:c r="E10" t="str">
        <x:f>IF(D10&gt;=12,"已收集较多",IF(D10&gt;0,"部分已核实","待采集"))</x:f>
        <x:v>部分已核实</x:v>
      </x:c>
      <x:c r="F10" t="str">
        <x:v>优先检索2025统计公报、财政养老基金及退休人数</x:v>
      </x:c>
      <x:c r="G10" t="str">
        <x:v>进贤县 2025年 国民经济和社会发展统计公报 机关事业单位退休 人数 养老金 发放 公积金</x:v>
      </x:c>
      <x:c r="H10" t="str">
        <x:v>有原始链接</x:v>
      </x:c>
    </x:row>
    <x:row r="11" ht="21" customHeight="1">
      <x:c r="A11" t="str">
        <x:v>景德镇市</x:v>
      </x:c>
      <x:c r="B11" t="str">
        <x:v>昌江区</x:v>
      </x:c>
      <x:c r="C11" t="str">
        <x:v>区</x:v>
      </x:c>
      <x:c r="D11" t="n">
        <x:f>'县级总表2025'!AB11</x:f>
        <x:v>0</x:v>
      </x:c>
      <x:c r="E11" t="str">
        <x:f>IF(D11&gt;=12,"已收集较多",IF(D11&gt;0,"部分已核实","待采集"))</x:f>
        <x:v>待采集</x:v>
      </x:c>
      <x:c r="F11" t="str">
        <x:v>优先检索2025统计公报、财政养老基金及退休人数</x:v>
      </x:c>
      <x:c r="G11" t="str">
        <x:v>昌江区 2025年 国民经济和社会发展统计公报 机关事业单位退休 人数 养老金 发放 公积金</x:v>
      </x:c>
      <x:c r="H11" t="str">
        <x:v>待核实</x:v>
      </x:c>
    </x:row>
    <x:row r="12" ht="21" customHeight="1">
      <x:c r="A12" t="str">
        <x:v>景德镇市</x:v>
      </x:c>
      <x:c r="B12" t="str">
        <x:v>珠山区</x:v>
      </x:c>
      <x:c r="C12" t="str">
        <x:v>区</x:v>
      </x:c>
      <x:c r="D12" t="n">
        <x:f>'县级总表2025'!AB12</x:f>
        <x:v>0</x:v>
      </x:c>
      <x:c r="E12" t="str">
        <x:f>IF(D12&gt;=12,"已收集较多",IF(D12&gt;0,"部分已核实","待采集"))</x:f>
        <x:v>待采集</x:v>
      </x:c>
      <x:c r="F12" t="str">
        <x:v>优先检索2025统计公报、财政养老基金及退休人数</x:v>
      </x:c>
      <x:c r="G12" t="str">
        <x:v>珠山区 2025年 国民经济和社会发展统计公报 机关事业单位退休 人数 养老金 发放 公积金</x:v>
      </x:c>
      <x:c r="H12" t="str">
        <x:v>待核实</x:v>
      </x:c>
    </x:row>
    <x:row r="13" ht="21" customHeight="1">
      <x:c r="A13" t="str">
        <x:v>景德镇市</x:v>
      </x:c>
      <x:c r="B13" t="str">
        <x:v>乐平市</x:v>
      </x:c>
      <x:c r="C13" t="str">
        <x:v>县级市</x:v>
      </x:c>
      <x:c r="D13" t="n">
        <x:f>'县级总表2025'!AB13</x:f>
        <x:v>0</x:v>
      </x:c>
      <x:c r="E13" t="str">
        <x:f>IF(D13&gt;=12,"已收集较多",IF(D13&gt;0,"部分已核实","待采集"))</x:f>
        <x:v>待采集</x:v>
      </x:c>
      <x:c r="F13" t="str">
        <x:v>优先检索2025统计公报、财政养老基金及退休人数</x:v>
      </x:c>
      <x:c r="G13" t="str">
        <x:v>乐平市 2025年 国民经济和社会发展统计公报 机关事业单位退休 人数 养老金 发放 公积金</x:v>
      </x:c>
      <x:c r="H13" t="str">
        <x:v>待核实</x:v>
      </x:c>
    </x:row>
    <x:row r="14" ht="21" customHeight="1">
      <x:c r="A14" t="str">
        <x:v>景德镇市</x:v>
      </x:c>
      <x:c r="B14" t="str">
        <x:v>浮梁县</x:v>
      </x:c>
      <x:c r="C14" t="str">
        <x:v>县</x:v>
      </x:c>
      <x:c r="D14" t="n">
        <x:f>'县级总表2025'!AB14</x:f>
        <x:v>8</x:v>
      </x:c>
      <x:c r="E14" t="str">
        <x:f>IF(D14&gt;=12,"已收集较多",IF(D14&gt;0,"部分已核实","待采集"))</x:f>
        <x:v>部分已核实</x:v>
      </x:c>
      <x:c r="F14" t="str">
        <x:v>优先检索2025统计公报、财政养老基金及退休人数</x:v>
      </x:c>
      <x:c r="G14" t="str">
        <x:v>浮梁县 2025年 国民经济和社会发展统计公报 机关事业单位退休 人数 养老金 发放 公积金</x:v>
      </x:c>
      <x:c r="H14" t="str">
        <x:v>有原始链接</x:v>
      </x:c>
    </x:row>
    <x:row r="15" ht="21" customHeight="1">
      <x:c r="A15" t="str">
        <x:v>萍乡市</x:v>
      </x:c>
      <x:c r="B15" t="str">
        <x:v>安源区</x:v>
      </x:c>
      <x:c r="C15" t="str">
        <x:v>区</x:v>
      </x:c>
      <x:c r="D15" t="n">
        <x:f>'县级总表2025'!AB15</x:f>
        <x:v>0</x:v>
      </x:c>
      <x:c r="E15" t="str">
        <x:f>IF(D15&gt;=12,"已收集较多",IF(D15&gt;0,"部分已核实","待采集"))</x:f>
        <x:v>待采集</x:v>
      </x:c>
      <x:c r="F15" t="str">
        <x:v>优先检索2025统计公报、财政养老基金及退休人数</x:v>
      </x:c>
      <x:c r="G15" t="str">
        <x:v>安源区 2025年 国民经济和社会发展统计公报 机关事业单位退休 人数 养老金 发放 公积金</x:v>
      </x:c>
      <x:c r="H15" t="str">
        <x:v>待核实</x:v>
      </x:c>
    </x:row>
    <x:row r="16" ht="21" customHeight="1">
      <x:c r="A16" t="str">
        <x:v>萍乡市</x:v>
      </x:c>
      <x:c r="B16" t="str">
        <x:v>湘东区</x:v>
      </x:c>
      <x:c r="C16" t="str">
        <x:v>区</x:v>
      </x:c>
      <x:c r="D16" t="n">
        <x:f>'县级总表2025'!AB16</x:f>
        <x:v>9</x:v>
      </x:c>
      <x:c r="E16" t="str">
        <x:f>IF(D16&gt;=12,"已收集较多",IF(D16&gt;0,"部分已核实","待采集"))</x:f>
        <x:v>部分已核实</x:v>
      </x:c>
      <x:c r="F16" t="str">
        <x:v>优先补三类养老金发放额</x:v>
      </x:c>
      <x:c r="G16" t="str">
        <x:v>湘东区 2025年 国民经济和社会发展统计公报 机关事业单位退休 人数 养老金 发放 公积金</x:v>
      </x:c>
      <x:c r="H16" t="str">
        <x:v>有原始链接</x:v>
      </x:c>
    </x:row>
    <x:row r="17" ht="21" customHeight="1">
      <x:c r="A17" t="str">
        <x:v>萍乡市</x:v>
      </x:c>
      <x:c r="B17" t="str">
        <x:v>莲花县</x:v>
      </x:c>
      <x:c r="C17" t="str">
        <x:v>县</x:v>
      </x:c>
      <x:c r="D17" t="n">
        <x:f>'县级总表2025'!AB17</x:f>
        <x:v>0</x:v>
      </x:c>
      <x:c r="E17" t="str">
        <x:f>IF(D17&gt;=12,"已收集较多",IF(D17&gt;0,"部分已核实","待采集"))</x:f>
        <x:v>待采集</x:v>
      </x:c>
      <x:c r="F17" t="str">
        <x:v>优先检索2025统计公报、财政养老基金及退休人数</x:v>
      </x:c>
      <x:c r="G17" t="str">
        <x:v>莲花县 2025年 国民经济和社会发展统计公报 机关事业单位退休 人数 养老金 发放 公积金</x:v>
      </x:c>
      <x:c r="H17" t="str">
        <x:v>待核实</x:v>
      </x:c>
    </x:row>
    <x:row r="18" ht="21" customHeight="1">
      <x:c r="A18" t="str">
        <x:v>萍乡市</x:v>
      </x:c>
      <x:c r="B18" t="str">
        <x:v>上栗县</x:v>
      </x:c>
      <x:c r="C18" t="str">
        <x:v>县</x:v>
      </x:c>
      <x:c r="D18" t="n">
        <x:f>'县级总表2025'!AB18</x:f>
        <x:v>0</x:v>
      </x:c>
      <x:c r="E18" t="str">
        <x:f>IF(D18&gt;=12,"已收集较多",IF(D18&gt;0,"部分已核实","待采集"))</x:f>
        <x:v>待采集</x:v>
      </x:c>
      <x:c r="F18" t="str">
        <x:v>优先检索2025统计公报、财政养老基金及退休人数</x:v>
      </x:c>
      <x:c r="G18" t="str">
        <x:v>上栗县 2025年 国民经济和社会发展统计公报 机关事业单位退休 人数 养老金 发放 公积金</x:v>
      </x:c>
      <x:c r="H18" t="str">
        <x:v>待核实</x:v>
      </x:c>
    </x:row>
    <x:row r="19" ht="21" customHeight="1">
      <x:c r="A19" t="str">
        <x:v>萍乡市</x:v>
      </x:c>
      <x:c r="B19" t="str">
        <x:v>芦溪县</x:v>
      </x:c>
      <x:c r="C19" t="str">
        <x:v>县</x:v>
      </x:c>
      <x:c r="D19" t="n">
        <x:f>'县级总表2025'!AB19</x:f>
        <x:v>0</x:v>
      </x:c>
      <x:c r="E19" t="str">
        <x:f>IF(D19&gt;=12,"已收集较多",IF(D19&gt;0,"部分已核实","待采集"))</x:f>
        <x:v>待采集</x:v>
      </x:c>
      <x:c r="F19" t="str">
        <x:v>优先检索2025统计公报、财政养老基金及退休人数</x:v>
      </x:c>
      <x:c r="G19" t="str">
        <x:v>芦溪县 2025年 国民经济和社会发展统计公报 机关事业单位退休 人数 养老金 发放 公积金</x:v>
      </x:c>
      <x:c r="H19" t="str">
        <x:v>待核实</x:v>
      </x:c>
    </x:row>
    <x:row r="20" ht="21" customHeight="1">
      <x:c r="A20" t="str">
        <x:v>九江市</x:v>
      </x:c>
      <x:c r="B20" t="str">
        <x:v>濂溪区</x:v>
      </x:c>
      <x:c r="C20" t="str">
        <x:v>区</x:v>
      </x:c>
      <x:c r="D20" t="n">
        <x:f>'县级总表2025'!AB20</x:f>
        <x:v>0</x:v>
      </x:c>
      <x:c r="E20" t="str">
        <x:f>IF(D20&gt;=12,"已收集较多",IF(D20&gt;0,"部分已核实","待采集"))</x:f>
        <x:v>待采集</x:v>
      </x:c>
      <x:c r="F20" t="str">
        <x:v>优先检索2025统计公报、财政养老基金及退休人数</x:v>
      </x:c>
      <x:c r="G20" t="str">
        <x:v>濂溪区 2025年 国民经济和社会发展统计公报 机关事业单位退休 人数 养老金 发放 公积金</x:v>
      </x:c>
      <x:c r="H20" t="str">
        <x:v>待核实</x:v>
      </x:c>
    </x:row>
    <x:row r="21" ht="21" customHeight="1">
      <x:c r="A21" t="str">
        <x:v>九江市</x:v>
      </x:c>
      <x:c r="B21" t="str">
        <x:v>浔阳区</x:v>
      </x:c>
      <x:c r="C21" t="str">
        <x:v>区</x:v>
      </x:c>
      <x:c r="D21" t="n">
        <x:f>'县级总表2025'!AB21</x:f>
        <x:v>0</x:v>
      </x:c>
      <x:c r="E21" t="str">
        <x:f>IF(D21&gt;=12,"已收集较多",IF(D21&gt;0,"部分已核实","待采集"))</x:f>
        <x:v>待采集</x:v>
      </x:c>
      <x:c r="F21" t="str">
        <x:v>优先检索2025统计公报、财政养老基金及退休人数</x:v>
      </x:c>
      <x:c r="G21" t="str">
        <x:v>浔阳区 2025年 国民经济和社会发展统计公报 机关事业单位退休 人数 养老金 发放 公积金</x:v>
      </x:c>
      <x:c r="H21" t="str">
        <x:v>待核实</x:v>
      </x:c>
    </x:row>
    <x:row r="22" ht="21" customHeight="1">
      <x:c r="A22" t="str">
        <x:v>九江市</x:v>
      </x:c>
      <x:c r="B22" t="str">
        <x:v>柴桑区</x:v>
      </x:c>
      <x:c r="C22" t="str">
        <x:v>区</x:v>
      </x:c>
      <x:c r="D22" t="n">
        <x:f>'县级总表2025'!AB22</x:f>
        <x:v>0</x:v>
      </x:c>
      <x:c r="E22" t="str">
        <x:f>IF(D22&gt;=12,"已收集较多",IF(D22&gt;0,"部分已核实","待采集"))</x:f>
        <x:v>待采集</x:v>
      </x:c>
      <x:c r="F22" t="str">
        <x:v>优先检索2025统计公报、财政养老基金及退休人数</x:v>
      </x:c>
      <x:c r="G22" t="str">
        <x:v>柴桑区 2025年 国民经济和社会发展统计公报 机关事业单位退休 人数 养老金 发放 公积金</x:v>
      </x:c>
      <x:c r="H22" t="str">
        <x:v>待核实</x:v>
      </x:c>
    </x:row>
    <x:row r="23" ht="21" customHeight="1">
      <x:c r="A23" t="str">
        <x:v>九江市</x:v>
      </x:c>
      <x:c r="B23" t="str">
        <x:v>瑞昌市</x:v>
      </x:c>
      <x:c r="C23" t="str">
        <x:v>县级市</x:v>
      </x:c>
      <x:c r="D23" t="n">
        <x:f>'县级总表2025'!AB23</x:f>
        <x:v>0</x:v>
      </x:c>
      <x:c r="E23" t="str">
        <x:f>IF(D23&gt;=12,"已收集较多",IF(D23&gt;0,"部分已核实","待采集"))</x:f>
        <x:v>待采集</x:v>
      </x:c>
      <x:c r="F23" t="str">
        <x:v>优先检索2025统计公报、财政养老基金及退休人数</x:v>
      </x:c>
      <x:c r="G23" t="str">
        <x:v>瑞昌市 2025年 国民经济和社会发展统计公报 机关事业单位退休 人数 养老金 发放 公积金</x:v>
      </x:c>
      <x:c r="H23" t="str">
        <x:v>待核实</x:v>
      </x:c>
    </x:row>
    <x:row r="24" ht="21" customHeight="1">
      <x:c r="A24" t="str">
        <x:v>九江市</x:v>
      </x:c>
      <x:c r="B24" t="str">
        <x:v>共青城市</x:v>
      </x:c>
      <x:c r="C24" t="str">
        <x:v>县级市</x:v>
      </x:c>
      <x:c r="D24" t="n">
        <x:f>'县级总表2025'!AB24</x:f>
        <x:v>0</x:v>
      </x:c>
      <x:c r="E24" t="str">
        <x:f>IF(D24&gt;=12,"已收集较多",IF(D24&gt;0,"部分已核实","待采集"))</x:f>
        <x:v>待采集</x:v>
      </x:c>
      <x:c r="F24" t="str">
        <x:v>优先检索2025统计公报、财政养老基金及退休人数</x:v>
      </x:c>
      <x:c r="G24" t="str">
        <x:v>共青城市 2025年 国民经济和社会发展统计公报 机关事业单位退休 人数 养老金 发放 公积金</x:v>
      </x:c>
      <x:c r="H24" t="str">
        <x:v>待核实</x:v>
      </x:c>
    </x:row>
    <x:row r="25" ht="21" customHeight="1">
      <x:c r="A25" t="str">
        <x:v>九江市</x:v>
      </x:c>
      <x:c r="B25" t="str">
        <x:v>庐山市</x:v>
      </x:c>
      <x:c r="C25" t="str">
        <x:v>县级市</x:v>
      </x:c>
      <x:c r="D25" t="n">
        <x:f>'县级总表2025'!AB25</x:f>
        <x:v>0</x:v>
      </x:c>
      <x:c r="E25" t="str">
        <x:f>IF(D25&gt;=12,"已收集较多",IF(D25&gt;0,"部分已核实","待采集"))</x:f>
        <x:v>待采集</x:v>
      </x:c>
      <x:c r="F25" t="str">
        <x:v>优先检索2025统计公报、财政养老基金及退休人数</x:v>
      </x:c>
      <x:c r="G25" t="str">
        <x:v>庐山市 2025年 国民经济和社会发展统计公报 机关事业单位退休 人数 养老金 发放 公积金</x:v>
      </x:c>
      <x:c r="H25" t="str">
        <x:v>待核实</x:v>
      </x:c>
    </x:row>
    <x:row r="26" ht="21" customHeight="1">
      <x:c r="A26" t="str">
        <x:v>九江市</x:v>
      </x:c>
      <x:c r="B26" t="str">
        <x:v>武宁县</x:v>
      </x:c>
      <x:c r="C26" t="str">
        <x:v>县</x:v>
      </x:c>
      <x:c r="D26" t="n">
        <x:f>'县级总表2025'!AB26</x:f>
        <x:v>9</x:v>
      </x:c>
      <x:c r="E26" t="str">
        <x:f>IF(D26&gt;=12,"已收集较多",IF(D26&gt;0,"部分已核实","待采集"))</x:f>
        <x:v>部分已核实</x:v>
      </x:c>
      <x:c r="F26" t="str">
        <x:v>优先检索2025统计公报、财政养老基金及退休人数</x:v>
      </x:c>
      <x:c r="G26" t="str">
        <x:v>武宁县 2025年 国民经济和社会发展统计公报 机关事业单位退休 人数 养老金 发放 公积金</x:v>
      </x:c>
      <x:c r="H26" t="str">
        <x:v>有原始链接</x:v>
      </x:c>
    </x:row>
    <x:row r="27" ht="21" customHeight="1">
      <x:c r="A27" t="str">
        <x:v>九江市</x:v>
      </x:c>
      <x:c r="B27" t="str">
        <x:v>修水县</x:v>
      </x:c>
      <x:c r="C27" t="str">
        <x:v>县</x:v>
      </x:c>
      <x:c r="D27" t="n">
        <x:f>'县级总表2025'!AB27</x:f>
        <x:v>0</x:v>
      </x:c>
      <x:c r="E27" t="str">
        <x:f>IF(D27&gt;=12,"已收集较多",IF(D27&gt;0,"部分已核实","待采集"))</x:f>
        <x:v>待采集</x:v>
      </x:c>
      <x:c r="F27" t="str">
        <x:v>优先检索2025统计公报、财政养老基金及退休人数</x:v>
      </x:c>
      <x:c r="G27" t="str">
        <x:v>修水县 2025年 国民经济和社会发展统计公报 机关事业单位退休 人数 养老金 发放 公积金</x:v>
      </x:c>
      <x:c r="H27" t="str">
        <x:v>待核实</x:v>
      </x:c>
    </x:row>
    <x:row r="28" ht="21" customHeight="1">
      <x:c r="A28" t="str">
        <x:v>九江市</x:v>
      </x:c>
      <x:c r="B28" t="str">
        <x:v>永修县</x:v>
      </x:c>
      <x:c r="C28" t="str">
        <x:v>县</x:v>
      </x:c>
      <x:c r="D28" t="n">
        <x:f>'县级总表2025'!AB28</x:f>
        <x:v>0</x:v>
      </x:c>
      <x:c r="E28" t="str">
        <x:f>IF(D28&gt;=12,"已收集较多",IF(D28&gt;0,"部分已核实","待采集"))</x:f>
        <x:v>待采集</x:v>
      </x:c>
      <x:c r="F28" t="str">
        <x:v>优先检索2025统计公报、财政养老基金及退休人数</x:v>
      </x:c>
      <x:c r="G28" t="str">
        <x:v>永修县 2025年 国民经济和社会发展统计公报 机关事业单位退休 人数 养老金 发放 公积金</x:v>
      </x:c>
      <x:c r="H28" t="str">
        <x:v>待核实</x:v>
      </x:c>
    </x:row>
    <x:row r="29" ht="21" customHeight="1">
      <x:c r="A29" t="str">
        <x:v>九江市</x:v>
      </x:c>
      <x:c r="B29" t="str">
        <x:v>德安县</x:v>
      </x:c>
      <x:c r="C29" t="str">
        <x:v>县</x:v>
      </x:c>
      <x:c r="D29" t="n">
        <x:f>'县级总表2025'!AB29</x:f>
        <x:v>0</x:v>
      </x:c>
      <x:c r="E29" t="str">
        <x:f>IF(D29&gt;=12,"已收集较多",IF(D29&gt;0,"部分已核实","待采集"))</x:f>
        <x:v>待采集</x:v>
      </x:c>
      <x:c r="F29" t="str">
        <x:v>优先检索2025统计公报、财政养老基金及退休人数</x:v>
      </x:c>
      <x:c r="G29" t="str">
        <x:v>德安县 2025年 国民经济和社会发展统计公报 机关事业单位退休 人数 养老金 发放 公积金</x:v>
      </x:c>
      <x:c r="H29" t="str">
        <x:v>待核实</x:v>
      </x:c>
    </x:row>
    <x:row r="30" ht="21" customHeight="1">
      <x:c r="A30" t="str">
        <x:v>九江市</x:v>
      </x:c>
      <x:c r="B30" t="str">
        <x:v>都昌县</x:v>
      </x:c>
      <x:c r="C30" t="str">
        <x:v>县</x:v>
      </x:c>
      <x:c r="D30" t="n">
        <x:f>'县级总表2025'!AB30</x:f>
        <x:v>4</x:v>
      </x:c>
      <x:c r="E30" t="str">
        <x:f>IF(D30&gt;=12,"已收集较多",IF(D30&gt;0,"部分已核实","待采集"))</x:f>
        <x:v>部分已核实</x:v>
      </x:c>
      <x:c r="F30" t="str">
        <x:v>优先检索2025统计公报、财政养老基金及退休人数</x:v>
      </x:c>
      <x:c r="G30" t="str">
        <x:v>都昌县 2025年 国民经济和社会发展统计公报 机关事业单位退休 人数 养老金 发放 公积金</x:v>
      </x:c>
      <x:c r="H30" t="str">
        <x:v>有原始链接</x:v>
      </x:c>
    </x:row>
    <x:row r="31" ht="21" customHeight="1">
      <x:c r="A31" t="str">
        <x:v>九江市</x:v>
      </x:c>
      <x:c r="B31" t="str">
        <x:v>湖口县</x:v>
      </x:c>
      <x:c r="C31" t="str">
        <x:v>县</x:v>
      </x:c>
      <x:c r="D31" t="n">
        <x:f>'县级总表2025'!AB31</x:f>
        <x:v>0</x:v>
      </x:c>
      <x:c r="E31" t="str">
        <x:f>IF(D31&gt;=12,"已收集较多",IF(D31&gt;0,"部分已核实","待采集"))</x:f>
        <x:v>待采集</x:v>
      </x:c>
      <x:c r="F31" t="str">
        <x:v>优先检索2025统计公报、财政养老基金及退休人数</x:v>
      </x:c>
      <x:c r="G31" t="str">
        <x:v>湖口县 2025年 国民经济和社会发展统计公报 机关事业单位退休 人数 养老金 发放 公积金</x:v>
      </x:c>
      <x:c r="H31" t="str">
        <x:v>待核实</x:v>
      </x:c>
    </x:row>
    <x:row r="32" ht="21" customHeight="1">
      <x:c r="A32" t="str">
        <x:v>九江市</x:v>
      </x:c>
      <x:c r="B32" t="str">
        <x:v>彭泽县</x:v>
      </x:c>
      <x:c r="C32" t="str">
        <x:v>县</x:v>
      </x:c>
      <x:c r="D32" t="n">
        <x:f>'县级总表2025'!AB32</x:f>
        <x:v>0</x:v>
      </x:c>
      <x:c r="E32" t="str">
        <x:f>IF(D32&gt;=12,"已收集较多",IF(D32&gt;0,"部分已核实","待采集"))</x:f>
        <x:v>待采集</x:v>
      </x:c>
      <x:c r="F32" t="str">
        <x:v>优先检索2025统计公报、财政养老基金及退休人数</x:v>
      </x:c>
      <x:c r="G32" t="str">
        <x:v>彭泽县 2025年 国民经济和社会发展统计公报 机关事业单位退休 人数 养老金 发放 公积金</x:v>
      </x:c>
      <x:c r="H32" t="str">
        <x:v>待核实</x:v>
      </x:c>
    </x:row>
    <x:row r="33" ht="21" customHeight="1">
      <x:c r="A33" t="str">
        <x:v>新余市</x:v>
      </x:c>
      <x:c r="B33" t="str">
        <x:v>渝水区</x:v>
      </x:c>
      <x:c r="C33" t="str">
        <x:v>区</x:v>
      </x:c>
      <x:c r="D33" t="n">
        <x:f>'县级总表2025'!AB33</x:f>
        <x:v>0</x:v>
      </x:c>
      <x:c r="E33" t="str">
        <x:f>IF(D33&gt;=12,"已收集较多",IF(D33&gt;0,"部分已核实","待采集"))</x:f>
        <x:v>待采集</x:v>
      </x:c>
      <x:c r="F33" t="str">
        <x:v>优先检索2025统计公报、财政养老基金及退休人数</x:v>
      </x:c>
      <x:c r="G33" t="str">
        <x:v>渝水区 2025年 国民经济和社会发展统计公报 机关事业单位退休 人数 养老金 发放 公积金</x:v>
      </x:c>
      <x:c r="H33" t="str">
        <x:v>待核实</x:v>
      </x:c>
    </x:row>
    <x:row r="34" ht="21" customHeight="1">
      <x:c r="A34" t="str">
        <x:v>新余市</x:v>
      </x:c>
      <x:c r="B34" t="str">
        <x:v>分宜县</x:v>
      </x:c>
      <x:c r="C34" t="str">
        <x:v>县</x:v>
      </x:c>
      <x:c r="D34" t="n">
        <x:f>'县级总表2025'!AB34</x:f>
        <x:v>4</x:v>
      </x:c>
      <x:c r="E34" t="str">
        <x:f>IF(D34&gt;=12,"已收集较多",IF(D34&gt;0,"部分已核实","待采集"))</x:f>
        <x:v>部分已核实</x:v>
      </x:c>
      <x:c r="F34" t="str">
        <x:v>优先检索2025统计公报、财政养老基金及退休人数</x:v>
      </x:c>
      <x:c r="G34" t="str">
        <x:v>分宜县 2025年 国民经济和社会发展统计公报 机关事业单位退休 人数 养老金 发放 公积金</x:v>
      </x:c>
      <x:c r="H34" t="str">
        <x:v>有原始链接</x:v>
      </x:c>
    </x:row>
    <x:row r="35" ht="21" customHeight="1">
      <x:c r="A35" t="str">
        <x:v>鹰潭市</x:v>
      </x:c>
      <x:c r="B35" t="str">
        <x:v>月湖区</x:v>
      </x:c>
      <x:c r="C35" t="str">
        <x:v>区</x:v>
      </x:c>
      <x:c r="D35" t="n">
        <x:f>'县级总表2025'!AB35</x:f>
        <x:v>0</x:v>
      </x:c>
      <x:c r="E35" t="str">
        <x:f>IF(D35&gt;=12,"已收集较多",IF(D35&gt;0,"部分已核实","待采集"))</x:f>
        <x:v>待采集</x:v>
      </x:c>
      <x:c r="F35" t="str">
        <x:v>优先检索2025统计公报、财政养老基金及退休人数</x:v>
      </x:c>
      <x:c r="G35" t="str">
        <x:v>月湖区 2025年 国民经济和社会发展统计公报 机关事业单位退休 人数 养老金 发放 公积金</x:v>
      </x:c>
      <x:c r="H35" t="str">
        <x:v>待核实</x:v>
      </x:c>
    </x:row>
    <x:row r="36" ht="21" customHeight="1">
      <x:c r="A36" t="str">
        <x:v>鹰潭市</x:v>
      </x:c>
      <x:c r="B36" t="str">
        <x:v>余江区</x:v>
      </x:c>
      <x:c r="C36" t="str">
        <x:v>区</x:v>
      </x:c>
      <x:c r="D36" t="n">
        <x:f>'县级总表2025'!AB36</x:f>
        <x:v>0</x:v>
      </x:c>
      <x:c r="E36" t="str">
        <x:f>IF(D36&gt;=12,"已收集较多",IF(D36&gt;0,"部分已核实","待采集"))</x:f>
        <x:v>待采集</x:v>
      </x:c>
      <x:c r="F36" t="str">
        <x:v>优先检索2025统计公报、财政养老基金及退休人数</x:v>
      </x:c>
      <x:c r="G36" t="str">
        <x:v>余江区 2025年 国民经济和社会发展统计公报 机关事业单位退休 人数 养老金 发放 公积金</x:v>
      </x:c>
      <x:c r="H36" t="str">
        <x:v>待核实</x:v>
      </x:c>
    </x:row>
    <x:row r="37" ht="21" customHeight="1">
      <x:c r="A37" t="str">
        <x:v>鹰潭市</x:v>
      </x:c>
      <x:c r="B37" t="str">
        <x:v>贵溪市</x:v>
      </x:c>
      <x:c r="C37" t="str">
        <x:v>县级市</x:v>
      </x:c>
      <x:c r="D37" t="n">
        <x:f>'县级总表2025'!AB37</x:f>
        <x:v>0</x:v>
      </x:c>
      <x:c r="E37" t="str">
        <x:f>IF(D37&gt;=12,"已收集较多",IF(D37&gt;0,"部分已核实","待采集"))</x:f>
        <x:v>待采集</x:v>
      </x:c>
      <x:c r="F37" t="str">
        <x:v>优先检索2025统计公报、财政养老基金及退休人数</x:v>
      </x:c>
      <x:c r="G37" t="str">
        <x:v>贵溪市 2025年 国民经济和社会发展统计公报 机关事业单位退休 人数 养老金 发放 公积金</x:v>
      </x:c>
      <x:c r="H37" t="str">
        <x:v>待核实</x:v>
      </x:c>
    </x:row>
    <x:row r="38" ht="21" customHeight="1">
      <x:c r="A38" t="str">
        <x:v>赣州市</x:v>
      </x:c>
      <x:c r="B38" t="str">
        <x:v>章贡区</x:v>
      </x:c>
      <x:c r="C38" t="str">
        <x:v>区</x:v>
      </x:c>
      <x:c r="D38" t="n">
        <x:f>'县级总表2025'!AB38</x:f>
        <x:v>1</x:v>
      </x:c>
      <x:c r="E38" t="str">
        <x:f>IF(D38&gt;=12,"已收集较多",IF(D38&gt;0,"部分已核实","待采集"))</x:f>
        <x:v>部分已核实</x:v>
      </x:c>
      <x:c r="F38" t="str">
        <x:v>已补入市级县区人口；继续搜集2025三制度退休人数、发放金额、县级公积金及财政补贴</x:v>
      </x:c>
      <x:c r="G38" t="str">
        <x:v>章贡区 2025年 国民经济和社会发展统计公报 机关事业单位退休 人数 养老金 发放 公积金</x:v>
      </x:c>
      <x:c r="H38" t="str">
        <x:v>政府官网人口来源已登记</x:v>
      </x:c>
    </x:row>
    <x:row r="39" ht="21" customHeight="1">
      <x:c r="A39" t="str">
        <x:v>赣州市</x:v>
      </x:c>
      <x:c r="B39" t="str">
        <x:v>南康区</x:v>
      </x:c>
      <x:c r="C39" t="str">
        <x:v>区</x:v>
      </x:c>
      <x:c r="D39" t="n">
        <x:f>'县级总表2025'!AB39</x:f>
        <x:v>1</x:v>
      </x:c>
      <x:c r="E39" t="str">
        <x:f>IF(D39&gt;=12,"已收集较多",IF(D39&gt;0,"部分已核实","待采集"))</x:f>
        <x:v>部分已核实</x:v>
      </x:c>
      <x:c r="F39" t="str">
        <x:v>已补入市级县区人口；继续搜集2025三制度退休人数、发放金额、县级公积金及财政补贴</x:v>
      </x:c>
      <x:c r="G39" t="str">
        <x:v>南康区 2025年 国民经济和社会发展统计公报 机关事业单位退休 人数 养老金 发放 公积金</x:v>
      </x:c>
      <x:c r="H39" t="str">
        <x:v>政府官网人口来源已登记</x:v>
      </x:c>
    </x:row>
    <x:row r="40" ht="21" customHeight="1">
      <x:c r="A40" t="str">
        <x:v>赣州市</x:v>
      </x:c>
      <x:c r="B40" t="str">
        <x:v>赣县区</x:v>
      </x:c>
      <x:c r="C40" t="str">
        <x:v>区</x:v>
      </x:c>
      <x:c r="D40" t="n">
        <x:f>'县级总表2025'!AB40</x:f>
        <x:v>2</x:v>
      </x:c>
      <x:c r="E40" t="str">
        <x:f>IF(D40&gt;=12,"已收集较多",IF(D40&gt;0,"部分已核实","待采集"))</x:f>
        <x:v>部分已核实</x:v>
      </x:c>
      <x:c r="F40" t="str">
        <x:v>已补入市级县区人口；继续搜集2025三制度退休人数、发放金额、县级公积金及财政补贴</x:v>
      </x:c>
      <x:c r="G40" t="str">
        <x:v>赣县区 2025年 国民经济和社会发展统计公报 机关事业单位退休 人数 养老金 发放 公积金</x:v>
      </x:c>
      <x:c r="H40" t="str">
        <x:v>政府官网人口来源已登记</x:v>
      </x:c>
    </x:row>
    <x:row r="41" ht="21" customHeight="1">
      <x:c r="A41" t="str">
        <x:v>赣州市</x:v>
      </x:c>
      <x:c r="B41" t="str">
        <x:v>瑞金市</x:v>
      </x:c>
      <x:c r="C41" t="str">
        <x:v>县级市</x:v>
      </x:c>
      <x:c r="D41" t="n">
        <x:f>'县级总表2025'!AB41</x:f>
        <x:v>1</x:v>
      </x:c>
      <x:c r="E41" t="str">
        <x:f>IF(D41&gt;=12,"已收集较多",IF(D41&gt;0,"部分已核实","待采集"))</x:f>
        <x:v>部分已核实</x:v>
      </x:c>
      <x:c r="F41" t="str">
        <x:v>已补入市级县区人口；继续搜集2025三制度退休人数、发放金额、县级公积金及财政补贴</x:v>
      </x:c>
      <x:c r="G41" t="str">
        <x:v>瑞金市 2025年 国民经济和社会发展统计公报 机关事业单位退休 人数 养老金 发放 公积金</x:v>
      </x:c>
      <x:c r="H41" t="str">
        <x:v>政府官网人口来源已登记</x:v>
      </x:c>
    </x:row>
    <x:row r="42" ht="21" customHeight="1">
      <x:c r="A42" t="str">
        <x:v>赣州市</x:v>
      </x:c>
      <x:c r="B42" t="str">
        <x:v>龙南市</x:v>
      </x:c>
      <x:c r="C42" t="str">
        <x:v>县级市</x:v>
      </x:c>
      <x:c r="D42" t="n">
        <x:f>'县级总表2025'!AB42</x:f>
        <x:v>1</x:v>
      </x:c>
      <x:c r="E42" t="str">
        <x:f>IF(D42&gt;=12,"已收集较多",IF(D42&gt;0,"部分已核实","待采集"))</x:f>
        <x:v>部分已核实</x:v>
      </x:c>
      <x:c r="F42" t="str">
        <x:v>已补入市级县区人口；继续搜集2025三制度退休人数、发放金额、县级公积金及财政补贴</x:v>
      </x:c>
      <x:c r="G42" t="str">
        <x:v>龙南市 2025年 国民经济和社会发展统计公报 机关事业单位退休 人数 养老金 发放 公积金</x:v>
      </x:c>
      <x:c r="H42" t="str">
        <x:v>政府官网人口来源已登记</x:v>
      </x:c>
    </x:row>
    <x:row r="43" ht="21" customHeight="1">
      <x:c r="A43" t="str">
        <x:v>赣州市</x:v>
      </x:c>
      <x:c r="B43" t="str">
        <x:v>信丰县</x:v>
      </x:c>
      <x:c r="C43" t="str">
        <x:v>县</x:v>
      </x:c>
      <x:c r="D43" t="n">
        <x:f>'县级总表2025'!AB43</x:f>
        <x:v>3</x:v>
      </x:c>
      <x:c r="E43" t="str">
        <x:f>IF(D43&gt;=12,"已收集较多",IF(D43&gt;0,"部分已核实","待采集"))</x:f>
        <x:v>部分已核实</x:v>
      </x:c>
      <x:c r="F43" t="str">
        <x:v>已补入市级县区人口；继续搜集2025三制度退休人数、发放金额、县级公积金及财政补贴</x:v>
      </x:c>
      <x:c r="G43" t="str">
        <x:v>信丰县 2025年 国民经济和社会发展统计公报 机关事业单位退休 人数 养老金 发放 公积金</x:v>
      </x:c>
      <x:c r="H43" t="str">
        <x:v>政府官网人口来源已登记</x:v>
      </x:c>
    </x:row>
    <x:row r="44" ht="21" customHeight="1">
      <x:c r="A44" t="str">
        <x:v>赣州市</x:v>
      </x:c>
      <x:c r="B44" t="str">
        <x:v>大余县</x:v>
      </x:c>
      <x:c r="C44" t="str">
        <x:v>县</x:v>
      </x:c>
      <x:c r="D44" t="n">
        <x:f>'县级总表2025'!AB44</x:f>
        <x:v>1</x:v>
      </x:c>
      <x:c r="E44" t="str">
        <x:f>IF(D44&gt;=12,"已收集较多",IF(D44&gt;0,"部分已核实","待采集"))</x:f>
        <x:v>部分已核实</x:v>
      </x:c>
      <x:c r="F44" t="str">
        <x:v>已补入市级县区人口；继续搜集2025三制度退休人数、发放金额、县级公积金及财政补贴</x:v>
      </x:c>
      <x:c r="G44" t="str">
        <x:v>大余县 2025年 国民经济和社会发展统计公报 机关事业单位退休 人数 养老金 发放 公积金</x:v>
      </x:c>
      <x:c r="H44" t="str">
        <x:v>政府官网人口来源已登记</x:v>
      </x:c>
    </x:row>
    <x:row r="45" ht="21" customHeight="1">
      <x:c r="A45" t="str">
        <x:v>赣州市</x:v>
      </x:c>
      <x:c r="B45" t="str">
        <x:v>上犹县</x:v>
      </x:c>
      <x:c r="C45" t="str">
        <x:v>县</x:v>
      </x:c>
      <x:c r="D45" t="n">
        <x:f>'县级总表2025'!AB45</x:f>
        <x:v>1</x:v>
      </x:c>
      <x:c r="E45" t="str">
        <x:f>IF(D45&gt;=12,"已收集较多",IF(D45&gt;0,"部分已核实","待采集"))</x:f>
        <x:v>部分已核实</x:v>
      </x:c>
      <x:c r="F45" t="str">
        <x:v>已补入市级县区人口；继续搜集2025三制度退休人数、发放金额、县级公积金及财政补贴</x:v>
      </x:c>
      <x:c r="G45" t="str">
        <x:v>上犹县 2025年 国民经济和社会发展统计公报 机关事业单位退休 人数 养老金 发放 公积金</x:v>
      </x:c>
      <x:c r="H45" t="str">
        <x:v>政府官网人口来源已登记</x:v>
      </x:c>
    </x:row>
    <x:row r="46" ht="21" customHeight="1">
      <x:c r="A46" t="str">
        <x:v>赣州市</x:v>
      </x:c>
      <x:c r="B46" t="str">
        <x:v>崇义县</x:v>
      </x:c>
      <x:c r="C46" t="str">
        <x:v>县</x:v>
      </x:c>
      <x:c r="D46" t="n">
        <x:f>'县级总表2025'!AB46</x:f>
        <x:v>4</x:v>
      </x:c>
      <x:c r="E46" t="str">
        <x:f>IF(D46&gt;=12,"已收集较多",IF(D46&gt;0,"部分已核实","待采集"))</x:f>
        <x:v>部分已核实</x:v>
      </x:c>
      <x:c r="F46" t="str">
        <x:v>已补入市级县区人口；继续搜集2025三制度退休人数、发放金额、县级公积金及财政补贴</x:v>
      </x:c>
      <x:c r="G46" t="str">
        <x:v>崇义县 2025年 国民经济和社会发展统计公报 机关事业单位退休 人数 养老金 发放 公积金</x:v>
      </x:c>
      <x:c r="H46" t="str">
        <x:v>政府官网人口来源已登记</x:v>
      </x:c>
    </x:row>
    <x:row r="47" ht="21" customHeight="1">
      <x:c r="A47" t="str">
        <x:v>赣州市</x:v>
      </x:c>
      <x:c r="B47" t="str">
        <x:v>安远县</x:v>
      </x:c>
      <x:c r="C47" t="str">
        <x:v>县</x:v>
      </x:c>
      <x:c r="D47" t="n">
        <x:f>'县级总表2025'!AB47</x:f>
        <x:v>1</x:v>
      </x:c>
      <x:c r="E47" t="str">
        <x:f>IF(D47&gt;=12,"已收集较多",IF(D47&gt;0,"部分已核实","待采集"))</x:f>
        <x:v>部分已核实</x:v>
      </x:c>
      <x:c r="F47" t="str">
        <x:v>已补入市级县区人口；继续搜集2025三制度退休人数、发放金额、县级公积金及财政补贴</x:v>
      </x:c>
      <x:c r="G47" t="str">
        <x:v>安远县 2025年 国民经济和社会发展统计公报 机关事业单位退休 人数 养老金 发放 公积金</x:v>
      </x:c>
      <x:c r="H47" t="str">
        <x:v>政府官网人口来源已登记</x:v>
      </x:c>
    </x:row>
    <x:row r="48" ht="21" customHeight="1">
      <x:c r="A48" t="str">
        <x:v>赣州市</x:v>
      </x:c>
      <x:c r="B48" t="str">
        <x:v>定南县</x:v>
      </x:c>
      <x:c r="C48" t="str">
        <x:v>县</x:v>
      </x:c>
      <x:c r="D48" t="n">
        <x:f>'县级总表2025'!AB48</x:f>
        <x:v>1</x:v>
      </x:c>
      <x:c r="E48" t="str">
        <x:f>IF(D48&gt;=12,"已收集较多",IF(D48&gt;0,"部分已核实","待采集"))</x:f>
        <x:v>部分已核实</x:v>
      </x:c>
      <x:c r="F48" t="str">
        <x:v>已补入市级县区人口；继续搜集2025三制度退休人数、发放金额、县级公积金及财政补贴</x:v>
      </x:c>
      <x:c r="G48" t="str">
        <x:v>定南县 2025年 国民经济和社会发展统计公报 机关事业单位退休 人数 养老金 发放 公积金</x:v>
      </x:c>
      <x:c r="H48" t="str">
        <x:v>政府官网人口来源已登记</x:v>
      </x:c>
    </x:row>
    <x:row r="49" ht="21" customHeight="1">
      <x:c r="A49" t="str">
        <x:v>赣州市</x:v>
      </x:c>
      <x:c r="B49" t="str">
        <x:v>全南县</x:v>
      </x:c>
      <x:c r="C49" t="str">
        <x:v>县</x:v>
      </x:c>
      <x:c r="D49" t="n">
        <x:f>'县级总表2025'!AB49</x:f>
        <x:v>1</x:v>
      </x:c>
      <x:c r="E49" t="str">
        <x:f>IF(D49&gt;=12,"已收集较多",IF(D49&gt;0,"部分已核实","待采集"))</x:f>
        <x:v>部分已核实</x:v>
      </x:c>
      <x:c r="F49" t="str">
        <x:v>已补入市级县区人口；继续搜集2025三制度退休人数、发放金额、县级公积金及财政补贴</x:v>
      </x:c>
      <x:c r="G49" t="str">
        <x:v>全南县 2025年 国民经济和社会发展统计公报 机关事业单位退休 人数 养老金 发放 公积金</x:v>
      </x:c>
      <x:c r="H49" t="str">
        <x:v>政府官网人口来源已登记</x:v>
      </x:c>
    </x:row>
    <x:row r="50" ht="21" customHeight="1">
      <x:c r="A50" t="str">
        <x:v>赣州市</x:v>
      </x:c>
      <x:c r="B50" t="str">
        <x:v>宁都县</x:v>
      </x:c>
      <x:c r="C50" t="str">
        <x:v>县</x:v>
      </x:c>
      <x:c r="D50" t="n">
        <x:f>'县级总表2025'!AB50</x:f>
        <x:v>1</x:v>
      </x:c>
      <x:c r="E50" t="str">
        <x:f>IF(D50&gt;=12,"已收集较多",IF(D50&gt;0,"部分已核实","待采集"))</x:f>
        <x:v>部分已核实</x:v>
      </x:c>
      <x:c r="F50" t="str">
        <x:v>已补入市级县区人口；继续搜集2025三制度退休人数、发放金额、县级公积金及财政补贴</x:v>
      </x:c>
      <x:c r="G50" t="str">
        <x:v>宁都县 2025年 国民经济和社会发展统计公报 机关事业单位退休 人数 养老金 发放 公积金</x:v>
      </x:c>
      <x:c r="H50" t="str">
        <x:v>政府官网人口来源已登记</x:v>
      </x:c>
    </x:row>
    <x:row r="51" ht="21" customHeight="1">
      <x:c r="A51" t="str">
        <x:v>赣州市</x:v>
      </x:c>
      <x:c r="B51" t="str">
        <x:v>于都县</x:v>
      </x:c>
      <x:c r="C51" t="str">
        <x:v>县</x:v>
      </x:c>
      <x:c r="D51" t="n">
        <x:f>'县级总表2025'!AB51</x:f>
        <x:v>1</x:v>
      </x:c>
      <x:c r="E51" t="str">
        <x:f>IF(D51&gt;=12,"已收集较多",IF(D51&gt;0,"部分已核实","待采集"))</x:f>
        <x:v>部分已核实</x:v>
      </x:c>
      <x:c r="F51" t="str">
        <x:v>已补入市级县区人口；继续搜集2025三制度退休人数、发放金额、县级公积金及财政补贴</x:v>
      </x:c>
      <x:c r="G51" t="str">
        <x:v>于都县 2025年 国民经济和社会发展统计公报 机关事业单位退休 人数 养老金 发放 公积金</x:v>
      </x:c>
      <x:c r="H51" t="str">
        <x:v>政府官网人口来源已登记</x:v>
      </x:c>
    </x:row>
    <x:row r="52" ht="21" customHeight="1">
      <x:c r="A52" t="str">
        <x:v>赣州市</x:v>
      </x:c>
      <x:c r="B52" t="str">
        <x:v>兴国县</x:v>
      </x:c>
      <x:c r="C52" t="str">
        <x:v>县</x:v>
      </x:c>
      <x:c r="D52" t="n">
        <x:f>'县级总表2025'!AB52</x:f>
        <x:v>5</x:v>
      </x:c>
      <x:c r="E52" t="str">
        <x:f>IF(D52&gt;=12,"已收集较多",IF(D52&gt;0,"部分已核实","待采集"))</x:f>
        <x:v>部分已核实</x:v>
      </x:c>
      <x:c r="F52" t="str">
        <x:v>已补入市级县区人口；继续搜集2025三制度退休人数、发放金额、县级公积金及财政补贴</x:v>
      </x:c>
      <x:c r="G52" t="str">
        <x:v>兴国县 2025年 国民经济和社会发展统计公报 机关事业单位退休 人数 养老金 发放 公积金</x:v>
      </x:c>
      <x:c r="H52" t="str">
        <x:v>政府官网人口来源已登记</x:v>
      </x:c>
    </x:row>
    <x:row r="53" ht="21" customHeight="1">
      <x:c r="A53" t="str">
        <x:v>赣州市</x:v>
      </x:c>
      <x:c r="B53" t="str">
        <x:v>会昌县</x:v>
      </x:c>
      <x:c r="C53" t="str">
        <x:v>县</x:v>
      </x:c>
      <x:c r="D53" t="n">
        <x:f>'县级总表2025'!AB53</x:f>
        <x:v>1</x:v>
      </x:c>
      <x:c r="E53" t="str">
        <x:f>IF(D53&gt;=12,"已收集较多",IF(D53&gt;0,"部分已核实","待采集"))</x:f>
        <x:v>部分已核实</x:v>
      </x:c>
      <x:c r="F53" t="str">
        <x:v>已补入市级县区人口；继续搜集2025三制度退休人数、发放金额、县级公积金及财政补贴</x:v>
      </x:c>
      <x:c r="G53" t="str">
        <x:v>会昌县 2025年 国民经济和社会发展统计公报 机关事业单位退休 人数 养老金 发放 公积金</x:v>
      </x:c>
      <x:c r="H53" t="str">
        <x:v>政府官网人口来源已登记</x:v>
      </x:c>
    </x:row>
    <x:row r="54" ht="21" customHeight="1">
      <x:c r="A54" t="str">
        <x:v>赣州市</x:v>
      </x:c>
      <x:c r="B54" t="str">
        <x:v>寻乌县</x:v>
      </x:c>
      <x:c r="C54" t="str">
        <x:v>县</x:v>
      </x:c>
      <x:c r="D54" t="n">
        <x:f>'县级总表2025'!AB54</x:f>
        <x:v>1</x:v>
      </x:c>
      <x:c r="E54" t="str">
        <x:f>IF(D54&gt;=12,"已收集较多",IF(D54&gt;0,"部分已核实","待采集"))</x:f>
        <x:v>部分已核实</x:v>
      </x:c>
      <x:c r="F54" t="str">
        <x:v>已补入市级县区人口；继续搜集2025三制度退休人数、发放金额、县级公积金及财政补贴</x:v>
      </x:c>
      <x:c r="G54" t="str">
        <x:v>寻乌县 2025年 国民经济和社会发展统计公报 机关事业单位退休 人数 养老金 发放 公积金</x:v>
      </x:c>
      <x:c r="H54" t="str">
        <x:v>政府官网人口来源已登记</x:v>
      </x:c>
    </x:row>
    <x:row r="55" ht="21" customHeight="1">
      <x:c r="A55" t="str">
        <x:v>赣州市</x:v>
      </x:c>
      <x:c r="B55" t="str">
        <x:v>石城县</x:v>
      </x:c>
      <x:c r="C55" t="str">
        <x:v>县</x:v>
      </x:c>
      <x:c r="D55" t="n">
        <x:f>'县级总表2025'!AB55</x:f>
        <x:v>8</x:v>
      </x:c>
      <x:c r="E55" t="str">
        <x:f>IF(D55&gt;=12,"已收集较多",IF(D55&gt;0,"部分已核实","待采集"))</x:f>
        <x:v>部分已核实</x:v>
      </x:c>
      <x:c r="F55" t="str">
        <x:v>已补入市级县区人口；继续搜集2025三制度退休人数、发放金额、县级公积金及财政补贴</x:v>
      </x:c>
      <x:c r="G55" t="str">
        <x:v>石城县 2025年 国民经济和社会发展统计公报 机关事业单位退休 人数 养老金 发放 公积金</x:v>
      </x:c>
      <x:c r="H55" t="str">
        <x:v>政府官网人口来源已登记</x:v>
      </x:c>
    </x:row>
    <x:row r="56" ht="21" customHeight="1">
      <x:c r="A56" t="str">
        <x:v>吉安市</x:v>
      </x:c>
      <x:c r="B56" t="str">
        <x:v>吉州区</x:v>
      </x:c>
      <x:c r="C56" t="str">
        <x:v>区</x:v>
      </x:c>
      <x:c r="D56" t="n">
        <x:f>'县级总表2025'!AB56</x:f>
        <x:v>0</x:v>
      </x:c>
      <x:c r="E56" t="str">
        <x:f>IF(D56&gt;=12,"已收集较多",IF(D56&gt;0,"部分已核实","待采集"))</x:f>
        <x:v>待采集</x:v>
      </x:c>
      <x:c r="F56" t="str">
        <x:v>优先检索2025统计公报、财政养老基金及退休人数</x:v>
      </x:c>
      <x:c r="G56" t="str">
        <x:v>吉州区 2025年 国民经济和社会发展统计公报 机关事业单位退休 人数 养老金 发放 公积金</x:v>
      </x:c>
      <x:c r="H56" t="str">
        <x:v>待核实</x:v>
      </x:c>
    </x:row>
    <x:row r="57" ht="21" customHeight="1">
      <x:c r="A57" t="str">
        <x:v>吉安市</x:v>
      </x:c>
      <x:c r="B57" t="str">
        <x:v>青原区</x:v>
      </x:c>
      <x:c r="C57" t="str">
        <x:v>区</x:v>
      </x:c>
      <x:c r="D57" t="n">
        <x:f>'县级总表2025'!AB57</x:f>
        <x:v>0</x:v>
      </x:c>
      <x:c r="E57" t="str">
        <x:f>IF(D57&gt;=12,"已收集较多",IF(D57&gt;0,"部分已核实","待采集"))</x:f>
        <x:v>待采集</x:v>
      </x:c>
      <x:c r="F57" t="str">
        <x:v>优先检索2025统计公报、财政养老基金及退休人数</x:v>
      </x:c>
      <x:c r="G57" t="str">
        <x:v>青原区 2025年 国民经济和社会发展统计公报 机关事业单位退休 人数 养老金 发放 公积金</x:v>
      </x:c>
      <x:c r="H57" t="str">
        <x:v>待核实</x:v>
      </x:c>
    </x:row>
    <x:row r="58" ht="21" customHeight="1">
      <x:c r="A58" t="str">
        <x:v>吉安市</x:v>
      </x:c>
      <x:c r="B58" t="str">
        <x:v>井冈山市</x:v>
      </x:c>
      <x:c r="C58" t="str">
        <x:v>县级市</x:v>
      </x:c>
      <x:c r="D58" t="n">
        <x:f>'县级总表2025'!AB58</x:f>
        <x:v>0</x:v>
      </x:c>
      <x:c r="E58" t="str">
        <x:f>IF(D58&gt;=12,"已收集较多",IF(D58&gt;0,"部分已核实","待采集"))</x:f>
        <x:v>待采集</x:v>
      </x:c>
      <x:c r="F58" t="str">
        <x:v>优先检索2025统计公报、财政养老基金及退休人数</x:v>
      </x:c>
      <x:c r="G58" t="str">
        <x:v>井冈山市 2025年 国民经济和社会发展统计公报 机关事业单位退休 人数 养老金 发放 公积金</x:v>
      </x:c>
      <x:c r="H58" t="str">
        <x:v>待核实</x:v>
      </x:c>
    </x:row>
    <x:row r="59" ht="21" customHeight="1">
      <x:c r="A59" t="str">
        <x:v>吉安市</x:v>
      </x:c>
      <x:c r="B59" t="str">
        <x:v>吉安县</x:v>
      </x:c>
      <x:c r="C59" t="str">
        <x:v>县</x:v>
      </x:c>
      <x:c r="D59" t="n">
        <x:f>'县级总表2025'!AB59</x:f>
        <x:v>15</x:v>
      </x:c>
      <x:c r="E59" t="str">
        <x:f>IF(D59&gt;=12,"已收集较多",IF(D59&gt;0,"部分已核实","待采集"))</x:f>
        <x:v>已收集较多</x:v>
      </x:c>
      <x:c r="F59" t="str">
        <x:v>优先补三类退休待遇领取人数</x:v>
      </x:c>
      <x:c r="G59" t="str">
        <x:v>吉安县 2025年 国民经济和社会发展统计公报 机关事业单位退休 人数 养老金 发放 公积金</x:v>
      </x:c>
      <x:c r="H59" t="str">
        <x:v>有原始链接</x:v>
      </x:c>
    </x:row>
    <x:row r="60" ht="21" customHeight="1">
      <x:c r="A60" t="str">
        <x:v>吉安市</x:v>
      </x:c>
      <x:c r="B60" t="str">
        <x:v>吉水县</x:v>
      </x:c>
      <x:c r="C60" t="str">
        <x:v>县</x:v>
      </x:c>
      <x:c r="D60" t="n">
        <x:f>'县级总表2025'!AB60</x:f>
        <x:v>0</x:v>
      </x:c>
      <x:c r="E60" t="str">
        <x:f>IF(D60&gt;=12,"已收集较多",IF(D60&gt;0,"部分已核实","待采集"))</x:f>
        <x:v>待采集</x:v>
      </x:c>
      <x:c r="F60" t="str">
        <x:v>优先检索2025统计公报、财政养老基金及退休人数</x:v>
      </x:c>
      <x:c r="G60" t="str">
        <x:v>吉水县 2025年 国民经济和社会发展统计公报 机关事业单位退休 人数 养老金 发放 公积金</x:v>
      </x:c>
      <x:c r="H60" t="str">
        <x:v>待核实</x:v>
      </x:c>
    </x:row>
    <x:row r="61" ht="21" customHeight="1">
      <x:c r="A61" t="str">
        <x:v>吉安市</x:v>
      </x:c>
      <x:c r="B61" t="str">
        <x:v>峡江县</x:v>
      </x:c>
      <x:c r="C61" t="str">
        <x:v>县</x:v>
      </x:c>
      <x:c r="D61" t="n">
        <x:f>'县级总表2025'!AB61</x:f>
        <x:v>16</x:v>
      </x:c>
      <x:c r="E61" t="str">
        <x:f>IF(D61&gt;=12,"已收集较多",IF(D61&gt;0,"部分已核实","待采集"))</x:f>
        <x:v>已收集较多</x:v>
      </x:c>
      <x:c r="F61" t="str">
        <x:v>优先找公积金县级公报；核验待遇人数及金额</x:v>
      </x:c>
      <x:c r="G61" t="str">
        <x:v>峡江县 2025年 国民经济和社会发展统计公报 机关事业单位退休 人数 养老金 发放 公积金</x:v>
      </x:c>
      <x:c r="H61" t="str">
        <x:v>有原始链接</x:v>
      </x:c>
    </x:row>
    <x:row r="62" ht="21" customHeight="1">
      <x:c r="A62" t="str">
        <x:v>吉安市</x:v>
      </x:c>
      <x:c r="B62" t="str">
        <x:v>新干县</x:v>
      </x:c>
      <x:c r="C62" t="str">
        <x:v>县</x:v>
      </x:c>
      <x:c r="D62" t="n">
        <x:f>'县级总表2025'!AB62</x:f>
        <x:v>0</x:v>
      </x:c>
      <x:c r="E62" t="str">
        <x:f>IF(D62&gt;=12,"已收集较多",IF(D62&gt;0,"部分已核实","待采集"))</x:f>
        <x:v>待采集</x:v>
      </x:c>
      <x:c r="F62" t="str">
        <x:v>优先检索2025统计公报、财政养老基金及退休人数</x:v>
      </x:c>
      <x:c r="G62" t="str">
        <x:v>新干县 2025年 国民经济和社会发展统计公报 机关事业单位退休 人数 养老金 发放 公积金</x:v>
      </x:c>
      <x:c r="H62" t="str">
        <x:v>待核实</x:v>
      </x:c>
    </x:row>
    <x:row r="63" ht="21" customHeight="1">
      <x:c r="A63" t="str">
        <x:v>吉安市</x:v>
      </x:c>
      <x:c r="B63" t="str">
        <x:v>永丰县</x:v>
      </x:c>
      <x:c r="C63" t="str">
        <x:v>县</x:v>
      </x:c>
      <x:c r="D63" t="n">
        <x:f>'县级总表2025'!AB63</x:f>
        <x:v>14</x:v>
      </x:c>
      <x:c r="E63" t="str">
        <x:f>IF(D63&gt;=12,"已收集较多",IF(D63&gt;0,"部分已核实","待采集"))</x:f>
        <x:v>已收集较多</x:v>
      </x:c>
      <x:c r="F63" t="str">
        <x:v>优先补三类养老金发放额</x:v>
      </x:c>
      <x:c r="G63" t="str">
        <x:v>永丰县 2025年 国民经济和社会发展统计公报 机关事业单位退休 人数 养老金 发放 公积金</x:v>
      </x:c>
      <x:c r="H63" t="str">
        <x:v>有原始链接</x:v>
      </x:c>
    </x:row>
    <x:row r="64" ht="21" customHeight="1">
      <x:c r="A64" t="str">
        <x:v>吉安市</x:v>
      </x:c>
      <x:c r="B64" t="str">
        <x:v>泰和县</x:v>
      </x:c>
      <x:c r="C64" t="str">
        <x:v>县</x:v>
      </x:c>
      <x:c r="D64" t="n">
        <x:f>'县级总表2025'!AB64</x:f>
        <x:v>7</x:v>
      </x:c>
      <x:c r="E64" t="str">
        <x:f>IF(D64&gt;=12,"已收集较多",IF(D64&gt;0,"部分已核实","待采集"))</x:f>
        <x:v>部分已核实</x:v>
      </x:c>
      <x:c r="F64" t="str">
        <x:v>优先检索2025统计公报、财政养老基金及退休人数</x:v>
      </x:c>
      <x:c r="G64" t="str">
        <x:v>泰和县 2025年 国民经济和社会发展统计公报 机关事业单位退休 人数 养老金 发放 公积金</x:v>
      </x:c>
      <x:c r="H64" t="str">
        <x:v>有原始链接</x:v>
      </x:c>
    </x:row>
    <x:row r="65" ht="21" customHeight="1">
      <x:c r="A65" t="str">
        <x:v>吉安市</x:v>
      </x:c>
      <x:c r="B65" t="str">
        <x:v>遂川县</x:v>
      </x:c>
      <x:c r="C65" t="str">
        <x:v>县</x:v>
      </x:c>
      <x:c r="D65" t="n">
        <x:f>'县级总表2025'!AB65</x:f>
        <x:v>12</x:v>
      </x:c>
      <x:c r="E65" t="str">
        <x:f>IF(D65&gt;=12,"已收集较多",IF(D65&gt;0,"部分已核实","待采集"))</x:f>
        <x:v>已收集较多</x:v>
      </x:c>
      <x:c r="F65" t="str">
        <x:v>已补2025常住人口年龄结构、就业及社保参保；缺三类待遇人数/养老金发放额</x:v>
      </x:c>
      <x:c r="G65" t="str">
        <x:v>遂川县 2025年 国民经济和社会发展统计公报 机关事业单位退休 人数 养老金 发放 公积金</x:v>
      </x:c>
      <x:c r="H65" t="str">
        <x:v>2025县统计公报已登记</x:v>
      </x:c>
    </x:row>
    <x:row r="66" ht="21" customHeight="1">
      <x:c r="A66" t="str">
        <x:v>吉安市</x:v>
      </x:c>
      <x:c r="B66" t="str">
        <x:v>万安县</x:v>
      </x:c>
      <x:c r="C66" t="str">
        <x:v>县</x:v>
      </x:c>
      <x:c r="D66" t="n">
        <x:f>'县级总表2025'!AB66</x:f>
        <x:v>0</x:v>
      </x:c>
      <x:c r="E66" t="str">
        <x:f>IF(D66&gt;=12,"已收集较多",IF(D66&gt;0,"部分已核实","待采集"))</x:f>
        <x:v>待采集</x:v>
      </x:c>
      <x:c r="F66" t="str">
        <x:v>优先检索2025统计公报、财政养老基金及退休人数</x:v>
      </x:c>
      <x:c r="G66" t="str">
        <x:v>万安县 2025年 国民经济和社会发展统计公报 机关事业单位退休 人数 养老金 发放 公积金</x:v>
      </x:c>
      <x:c r="H66" t="str">
        <x:v>待核实</x:v>
      </x:c>
    </x:row>
    <x:row r="67" ht="21" customHeight="1">
      <x:c r="A67" t="str">
        <x:v>吉安市</x:v>
      </x:c>
      <x:c r="B67" t="str">
        <x:v>安福县</x:v>
      </x:c>
      <x:c r="C67" t="str">
        <x:v>县</x:v>
      </x:c>
      <x:c r="D67" t="n">
        <x:f>'县级总表2025'!AB67</x:f>
        <x:v>0</x:v>
      </x:c>
      <x:c r="E67" t="str">
        <x:f>IF(D67&gt;=12,"已收集较多",IF(D67&gt;0,"部分已核实","待采集"))</x:f>
        <x:v>待采集</x:v>
      </x:c>
      <x:c r="F67" t="str">
        <x:v>优先检索2025统计公报、财政养老基金及退休人数</x:v>
      </x:c>
      <x:c r="G67" t="str">
        <x:v>安福县 2025年 国民经济和社会发展统计公报 机关事业单位退休 人数 养老金 发放 公积金</x:v>
      </x:c>
      <x:c r="H67" t="str">
        <x:v>待核实</x:v>
      </x:c>
    </x:row>
    <x:row r="68" ht="21" customHeight="1">
      <x:c r="A68" t="str">
        <x:v>吉安市</x:v>
      </x:c>
      <x:c r="B68" t="str">
        <x:v>永新县</x:v>
      </x:c>
      <x:c r="C68" t="str">
        <x:v>县</x:v>
      </x:c>
      <x:c r="D68" t="n">
        <x:f>'县级总表2025'!AB68</x:f>
        <x:v>0</x:v>
      </x:c>
      <x:c r="E68" t="str">
        <x:f>IF(D68&gt;=12,"已收集较多",IF(D68&gt;0,"部分已核实","待采集"))</x:f>
        <x:v>待采集</x:v>
      </x:c>
      <x:c r="F68" t="str">
        <x:v>优先检索2025统计公报、财政养老基金及退休人数</x:v>
      </x:c>
      <x:c r="G68" t="str">
        <x:v>永新县 2025年 国民经济和社会发展统计公报 机关事业单位退休 人数 养老金 发放 公积金</x:v>
      </x:c>
      <x:c r="H68" t="str">
        <x:v>待核实</x:v>
      </x:c>
    </x:row>
    <x:row r="69" ht="21" customHeight="1">
      <x:c r="A69" t="str">
        <x:v>宜春市</x:v>
      </x:c>
      <x:c r="B69" t="str">
        <x:v>袁州区</x:v>
      </x:c>
      <x:c r="C69" t="str">
        <x:v>区</x:v>
      </x:c>
      <x:c r="D69" t="n">
        <x:f>'县级总表2025'!AB69</x:f>
        <x:v>0</x:v>
      </x:c>
      <x:c r="E69" t="str">
        <x:f>IF(D69&gt;=12,"已收集较多",IF(D69&gt;0,"部分已核实","待采集"))</x:f>
        <x:v>待采集</x:v>
      </x:c>
      <x:c r="F69" t="str">
        <x:v>优先检索2025统计公报、财政养老基金及退休人数</x:v>
      </x:c>
      <x:c r="G69" t="str">
        <x:v>袁州区 2025年 国民经济和社会发展统计公报 机关事业单位退休 人数 养老金 发放 公积金</x:v>
      </x:c>
      <x:c r="H69" t="str">
        <x:v>待核实</x:v>
      </x:c>
    </x:row>
    <x:row r="70" ht="21" customHeight="1">
      <x:c r="A70" t="str">
        <x:v>宜春市</x:v>
      </x:c>
      <x:c r="B70" t="str">
        <x:v>丰城市</x:v>
      </x:c>
      <x:c r="C70" t="str">
        <x:v>县级市</x:v>
      </x:c>
      <x:c r="D70" t="n">
        <x:f>'县级总表2025'!AB70</x:f>
        <x:v>0</x:v>
      </x:c>
      <x:c r="E70" t="str">
        <x:f>IF(D70&gt;=12,"已收集较多",IF(D70&gt;0,"部分已核实","待采集"))</x:f>
        <x:v>待采集</x:v>
      </x:c>
      <x:c r="F70" t="str">
        <x:v>优先检索2025统计公报、财政养老基金及退休人数</x:v>
      </x:c>
      <x:c r="G70" t="str">
        <x:v>丰城市 2025年 国民经济和社会发展统计公报 机关事业单位退休 人数 养老金 发放 公积金</x:v>
      </x:c>
      <x:c r="H70" t="str">
        <x:v>待核实</x:v>
      </x:c>
    </x:row>
    <x:row r="71" ht="21" customHeight="1">
      <x:c r="A71" t="str">
        <x:v>宜春市</x:v>
      </x:c>
      <x:c r="B71" t="str">
        <x:v>樟树市</x:v>
      </x:c>
      <x:c r="C71" t="str">
        <x:v>县级市</x:v>
      </x:c>
      <x:c r="D71" t="n">
        <x:f>'县级总表2025'!AB71</x:f>
        <x:v>0</x:v>
      </x:c>
      <x:c r="E71" t="str">
        <x:f>IF(D71&gt;=12,"已收集较多",IF(D71&gt;0,"部分已核实","待采集"))</x:f>
        <x:v>待采集</x:v>
      </x:c>
      <x:c r="F71" t="str">
        <x:v>优先检索2025统计公报、财政养老基金及退休人数</x:v>
      </x:c>
      <x:c r="G71" t="str">
        <x:v>樟树市 2025年 国民经济和社会发展统计公报 机关事业单位退休 人数 养老金 发放 公积金</x:v>
      </x:c>
      <x:c r="H71" t="str">
        <x:v>待核实</x:v>
      </x:c>
    </x:row>
    <x:row r="72" ht="21" customHeight="1">
      <x:c r="A72" t="str">
        <x:v>宜春市</x:v>
      </x:c>
      <x:c r="B72" t="str">
        <x:v>高安市</x:v>
      </x:c>
      <x:c r="C72" t="str">
        <x:v>县级市</x:v>
      </x:c>
      <x:c r="D72" t="n">
        <x:f>'县级总表2025'!AB72</x:f>
        <x:v>0</x:v>
      </x:c>
      <x:c r="E72" t="str">
        <x:f>IF(D72&gt;=12,"已收集较多",IF(D72&gt;0,"部分已核实","待采集"))</x:f>
        <x:v>待采集</x:v>
      </x:c>
      <x:c r="F72" t="str">
        <x:v>优先检索2025统计公报、财政养老基金及退休人数</x:v>
      </x:c>
      <x:c r="G72" t="str">
        <x:v>高安市 2025年 国民经济和社会发展统计公报 机关事业单位退休 人数 养老金 发放 公积金</x:v>
      </x:c>
      <x:c r="H72" t="str">
        <x:v>待核实</x:v>
      </x:c>
    </x:row>
    <x:row r="73" ht="21" customHeight="1">
      <x:c r="A73" t="str">
        <x:v>宜春市</x:v>
      </x:c>
      <x:c r="B73" t="str">
        <x:v>奉新县</x:v>
      </x:c>
      <x:c r="C73" t="str">
        <x:v>县</x:v>
      </x:c>
      <x:c r="D73" t="n">
        <x:f>'县级总表2025'!AB73</x:f>
        <x:v>6</x:v>
      </x:c>
      <x:c r="E73" t="str">
        <x:f>IF(D73&gt;=12,"已收集较多",IF(D73&gt;0,"部分已核实","待采集"))</x:f>
        <x:v>部分已核实</x:v>
      </x:c>
      <x:c r="F73" t="str">
        <x:v>优先检索2025统计公报、财政养老基金及退休人数</x:v>
      </x:c>
      <x:c r="G73" t="str">
        <x:v>奉新县 2025年 国民经济和社会发展统计公报 机关事业单位退休 人数 养老金 发放 公积金</x:v>
      </x:c>
      <x:c r="H73" t="str">
        <x:v>有原始链接</x:v>
      </x:c>
    </x:row>
    <x:row r="74" ht="21" customHeight="1">
      <x:c r="A74" t="str">
        <x:v>宜春市</x:v>
      </x:c>
      <x:c r="B74" t="str">
        <x:v>万载县</x:v>
      </x:c>
      <x:c r="C74" t="str">
        <x:v>县</x:v>
      </x:c>
      <x:c r="D74" t="n">
        <x:f>'县级总表2025'!AB74</x:f>
        <x:v>0</x:v>
      </x:c>
      <x:c r="E74" t="str">
        <x:f>IF(D74&gt;=12,"已收集较多",IF(D74&gt;0,"部分已核实","待采集"))</x:f>
        <x:v>待采集</x:v>
      </x:c>
      <x:c r="F74" t="str">
        <x:v>优先检索2025统计公报、财政养老基金及退休人数</x:v>
      </x:c>
      <x:c r="G74" t="str">
        <x:v>万载县 2025年 国民经济和社会发展统计公报 机关事业单位退休 人数 养老金 发放 公积金</x:v>
      </x:c>
      <x:c r="H74" t="str">
        <x:v>待核实</x:v>
      </x:c>
    </x:row>
    <x:row r="75" ht="21" customHeight="1">
      <x:c r="A75" t="str">
        <x:v>宜春市</x:v>
      </x:c>
      <x:c r="B75" t="str">
        <x:v>上高县</x:v>
      </x:c>
      <x:c r="C75" t="str">
        <x:v>县</x:v>
      </x:c>
      <x:c r="D75" t="n">
        <x:f>'县级总表2025'!AB75</x:f>
        <x:v>0</x:v>
      </x:c>
      <x:c r="E75" t="str">
        <x:f>IF(D75&gt;=12,"已收集较多",IF(D75&gt;0,"部分已核实","待采集"))</x:f>
        <x:v>待采集</x:v>
      </x:c>
      <x:c r="F75" t="str">
        <x:v>优先检索2025统计公报、财政养老基金及退休人数</x:v>
      </x:c>
      <x:c r="G75" t="str">
        <x:v>上高县 2025年 国民经济和社会发展统计公报 机关事业单位退休 人数 养老金 发放 公积金</x:v>
      </x:c>
      <x:c r="H75" t="str">
        <x:v>待核实</x:v>
      </x:c>
    </x:row>
    <x:row r="76" ht="21" customHeight="1">
      <x:c r="A76" t="str">
        <x:v>宜春市</x:v>
      </x:c>
      <x:c r="B76" t="str">
        <x:v>宜丰县</x:v>
      </x:c>
      <x:c r="C76" t="str">
        <x:v>县</x:v>
      </x:c>
      <x:c r="D76" t="n">
        <x:f>'县级总表2025'!AB76</x:f>
        <x:v>0</x:v>
      </x:c>
      <x:c r="E76" t="str">
        <x:f>IF(D76&gt;=12,"已收集较多",IF(D76&gt;0,"部分已核实","待采集"))</x:f>
        <x:v>待采集</x:v>
      </x:c>
      <x:c r="F76" t="str">
        <x:v>优先检索2025统计公报、财政养老基金及退休人数</x:v>
      </x:c>
      <x:c r="G76" t="str">
        <x:v>宜丰县 2025年 国民经济和社会发展统计公报 机关事业单位退休 人数 养老金 发放 公积金</x:v>
      </x:c>
      <x:c r="H76" t="str">
        <x:v>待核实</x:v>
      </x:c>
    </x:row>
    <x:row r="77" ht="21" customHeight="1">
      <x:c r="A77" t="str">
        <x:v>宜春市</x:v>
      </x:c>
      <x:c r="B77" t="str">
        <x:v>靖安县</x:v>
      </x:c>
      <x:c r="C77" t="str">
        <x:v>县</x:v>
      </x:c>
      <x:c r="D77" t="n">
        <x:f>'县级总表2025'!AB77</x:f>
        <x:v>0</x:v>
      </x:c>
      <x:c r="E77" t="str">
        <x:f>IF(D77&gt;=12,"已收集较多",IF(D77&gt;0,"部分已核实","待采集"))</x:f>
        <x:v>待采集</x:v>
      </x:c>
      <x:c r="F77" t="str">
        <x:v>优先检索2025统计公报、财政养老基金及退休人数</x:v>
      </x:c>
      <x:c r="G77" t="str">
        <x:v>靖安县 2025年 国民经济和社会发展统计公报 机关事业单位退休 人数 养老金 发放 公积金</x:v>
      </x:c>
      <x:c r="H77" t="str">
        <x:v>待核实</x:v>
      </x:c>
    </x:row>
    <x:row r="78" ht="21" customHeight="1">
      <x:c r="A78" t="str">
        <x:v>宜春市</x:v>
      </x:c>
      <x:c r="B78" t="str">
        <x:v>铜鼓县</x:v>
      </x:c>
      <x:c r="C78" t="str">
        <x:v>县</x:v>
      </x:c>
      <x:c r="D78" t="n">
        <x:f>'县级总表2025'!AB78</x:f>
        <x:v>0</x:v>
      </x:c>
      <x:c r="E78" t="str">
        <x:f>IF(D78&gt;=12,"已收集较多",IF(D78&gt;0,"部分已核实","待采集"))</x:f>
        <x:v>待采集</x:v>
      </x:c>
      <x:c r="F78" t="str">
        <x:v>优先检索2025统计公报、财政养老基金及退休人数</x:v>
      </x:c>
      <x:c r="G78" t="str">
        <x:v>铜鼓县 2025年 国民经济和社会发展统计公报 机关事业单位退休 人数 养老金 发放 公积金</x:v>
      </x:c>
      <x:c r="H78" t="str">
        <x:v>待核实</x:v>
      </x:c>
    </x:row>
    <x:row r="79" ht="21" customHeight="1">
      <x:c r="A79" t="str">
        <x:v>抚州市</x:v>
      </x:c>
      <x:c r="B79" t="str">
        <x:v>临川区</x:v>
      </x:c>
      <x:c r="C79" t="str">
        <x:v>区</x:v>
      </x:c>
      <x:c r="D79" t="n">
        <x:f>'县级总表2025'!AB79</x:f>
        <x:v>0</x:v>
      </x:c>
      <x:c r="E79" t="str">
        <x:f>IF(D79&gt;=12,"已收集较多",IF(D79&gt;0,"部分已核实","待采集"))</x:f>
        <x:v>待采集</x:v>
      </x:c>
      <x:c r="F79" t="str">
        <x:v>优先检索2025统计公报、财政养老基金及退休人数</x:v>
      </x:c>
      <x:c r="G79" t="str">
        <x:v>临川区 2025年 国民经济和社会发展统计公报 机关事业单位退休 人数 养老金 发放 公积金</x:v>
      </x:c>
      <x:c r="H79" t="str">
        <x:v>待核实</x:v>
      </x:c>
    </x:row>
    <x:row r="80" ht="21" customHeight="1">
      <x:c r="A80" t="str">
        <x:v>抚州市</x:v>
      </x:c>
      <x:c r="B80" t="str">
        <x:v>东乡区</x:v>
      </x:c>
      <x:c r="C80" t="str">
        <x:v>区</x:v>
      </x:c>
      <x:c r="D80" t="n">
        <x:f>'县级总表2025'!AB80</x:f>
        <x:v>0</x:v>
      </x:c>
      <x:c r="E80" t="str">
        <x:f>IF(D80&gt;=12,"已收集较多",IF(D80&gt;0,"部分已核实","待采集"))</x:f>
        <x:v>待采集</x:v>
      </x:c>
      <x:c r="F80" t="str">
        <x:v>优先检索2025统计公报、财政养老基金及退休人数</x:v>
      </x:c>
      <x:c r="G80" t="str">
        <x:v>东乡区 2025年 国民经济和社会发展统计公报 机关事业单位退休 人数 养老金 发放 公积金</x:v>
      </x:c>
      <x:c r="H80" t="str">
        <x:v>待核实</x:v>
      </x:c>
    </x:row>
    <x:row r="81" ht="21" customHeight="1">
      <x:c r="A81" t="str">
        <x:v>抚州市</x:v>
      </x:c>
      <x:c r="B81" t="str">
        <x:v>南城县</x:v>
      </x:c>
      <x:c r="C81" t="str">
        <x:v>县</x:v>
      </x:c>
      <x:c r="D81" t="n">
        <x:f>'县级总表2025'!AB81</x:f>
        <x:v>0</x:v>
      </x:c>
      <x:c r="E81" t="str">
        <x:f>IF(D81&gt;=12,"已收集较多",IF(D81&gt;0,"部分已核实","待采集"))</x:f>
        <x:v>待采集</x:v>
      </x:c>
      <x:c r="F81" t="str">
        <x:v>优先检索2025统计公报、财政养老基金及退休人数</x:v>
      </x:c>
      <x:c r="G81" t="str">
        <x:v>南城县 2025年 国民经济和社会发展统计公报 机关事业单位退休 人数 养老金 发放 公积金</x:v>
      </x:c>
      <x:c r="H81" t="str">
        <x:v>待核实</x:v>
      </x:c>
    </x:row>
    <x:row r="82" ht="21" customHeight="1">
      <x:c r="A82" t="str">
        <x:v>抚州市</x:v>
      </x:c>
      <x:c r="B82" t="str">
        <x:v>黎川县</x:v>
      </x:c>
      <x:c r="C82" t="str">
        <x:v>县</x:v>
      </x:c>
      <x:c r="D82" t="n">
        <x:f>'县级总表2025'!AB82</x:f>
        <x:v>0</x:v>
      </x:c>
      <x:c r="E82" t="str">
        <x:f>IF(D82&gt;=12,"已收集较多",IF(D82&gt;0,"部分已核实","待采集"))</x:f>
        <x:v>待采集</x:v>
      </x:c>
      <x:c r="F82" t="str">
        <x:v>优先检索2025统计公报、财政养老基金及退休人数</x:v>
      </x:c>
      <x:c r="G82" t="str">
        <x:v>黎川县 2025年 国民经济和社会发展统计公报 机关事业单位退休 人数 养老金 发放 公积金</x:v>
      </x:c>
      <x:c r="H82" t="str">
        <x:v>待核实</x:v>
      </x:c>
    </x:row>
    <x:row r="83" ht="21" customHeight="1">
      <x:c r="A83" t="str">
        <x:v>抚州市</x:v>
      </x:c>
      <x:c r="B83" t="str">
        <x:v>南丰县</x:v>
      </x:c>
      <x:c r="C83" t="str">
        <x:v>县</x:v>
      </x:c>
      <x:c r="D83" t="n">
        <x:f>'县级总表2025'!AB83</x:f>
        <x:v>0</x:v>
      </x:c>
      <x:c r="E83" t="str">
        <x:f>IF(D83&gt;=12,"已收集较多",IF(D83&gt;0,"部分已核实","待采集"))</x:f>
        <x:v>待采集</x:v>
      </x:c>
      <x:c r="F83" t="str">
        <x:v>优先检索2025统计公报、财政养老基金及退休人数</x:v>
      </x:c>
      <x:c r="G83" t="str">
        <x:v>南丰县 2025年 国民经济和社会发展统计公报 机关事业单位退休 人数 养老金 发放 公积金</x:v>
      </x:c>
      <x:c r="H83" t="str">
        <x:v>待核实</x:v>
      </x:c>
    </x:row>
    <x:row r="84" ht="21" customHeight="1">
      <x:c r="A84" t="str">
        <x:v>抚州市</x:v>
      </x:c>
      <x:c r="B84" t="str">
        <x:v>崇仁县</x:v>
      </x:c>
      <x:c r="C84" t="str">
        <x:v>县</x:v>
      </x:c>
      <x:c r="D84" t="n">
        <x:f>'县级总表2025'!AB84</x:f>
        <x:v>0</x:v>
      </x:c>
      <x:c r="E84" t="str">
        <x:f>IF(D84&gt;=12,"已收集较多",IF(D84&gt;0,"部分已核实","待采集"))</x:f>
        <x:v>待采集</x:v>
      </x:c>
      <x:c r="F84" t="str">
        <x:v>优先检索2025统计公报、财政养老基金及退休人数</x:v>
      </x:c>
      <x:c r="G84" t="str">
        <x:v>崇仁县 2025年 国民经济和社会发展统计公报 机关事业单位退休 人数 养老金 发放 公积金</x:v>
      </x:c>
      <x:c r="H84" t="str">
        <x:v>待核实</x:v>
      </x:c>
    </x:row>
    <x:row r="85" ht="21" customHeight="1">
      <x:c r="A85" t="str">
        <x:v>抚州市</x:v>
      </x:c>
      <x:c r="B85" t="str">
        <x:v>乐安县</x:v>
      </x:c>
      <x:c r="C85" t="str">
        <x:v>县</x:v>
      </x:c>
      <x:c r="D85" t="n">
        <x:f>'县级总表2025'!AB85</x:f>
        <x:v>0</x:v>
      </x:c>
      <x:c r="E85" t="str">
        <x:f>IF(D85&gt;=12,"已收集较多",IF(D85&gt;0,"部分已核实","待采集"))</x:f>
        <x:v>待采集</x:v>
      </x:c>
      <x:c r="F85" t="str">
        <x:v>优先检索2025统计公报、财政养老基金及退休人数</x:v>
      </x:c>
      <x:c r="G85" t="str">
        <x:v>乐安县 2025年 国民经济和社会发展统计公报 机关事业单位退休 人数 养老金 发放 公积金</x:v>
      </x:c>
      <x:c r="H85" t="str">
        <x:v>待核实</x:v>
      </x:c>
    </x:row>
    <x:row r="86" ht="21" customHeight="1">
      <x:c r="A86" t="str">
        <x:v>抚州市</x:v>
      </x:c>
      <x:c r="B86" t="str">
        <x:v>宜黄县</x:v>
      </x:c>
      <x:c r="C86" t="str">
        <x:v>县</x:v>
      </x:c>
      <x:c r="D86" t="n">
        <x:f>'县级总表2025'!AB86</x:f>
        <x:v>0</x:v>
      </x:c>
      <x:c r="E86" t="str">
        <x:f>IF(D86&gt;=12,"已收集较多",IF(D86&gt;0,"部分已核实","待采集"))</x:f>
        <x:v>待采集</x:v>
      </x:c>
      <x:c r="F86" t="str">
        <x:v>优先检索2025统计公报、财政养老基金及退休人数</x:v>
      </x:c>
      <x:c r="G86" t="str">
        <x:v>宜黄县 2025年 国民经济和社会发展统计公报 机关事业单位退休 人数 养老金 发放 公积金</x:v>
      </x:c>
      <x:c r="H86" t="str">
        <x:v>待核实</x:v>
      </x:c>
    </x:row>
    <x:row r="87" ht="21" customHeight="1">
      <x:c r="A87" t="str">
        <x:v>抚州市</x:v>
      </x:c>
      <x:c r="B87" t="str">
        <x:v>金溪县</x:v>
      </x:c>
      <x:c r="C87" t="str">
        <x:v>县</x:v>
      </x:c>
      <x:c r="D87" t="n">
        <x:f>'县级总表2025'!AB87</x:f>
        <x:v>0</x:v>
      </x:c>
      <x:c r="E87" t="str">
        <x:f>IF(D87&gt;=12,"已收集较多",IF(D87&gt;0,"部分已核实","待采集"))</x:f>
        <x:v>待采集</x:v>
      </x:c>
      <x:c r="F87" t="str">
        <x:v>优先检索2025统计公报、财政养老基金及退休人数</x:v>
      </x:c>
      <x:c r="G87" t="str">
        <x:v>金溪县 2025年 国民经济和社会发展统计公报 机关事业单位退休 人数 养老金 发放 公积金</x:v>
      </x:c>
      <x:c r="H87" t="str">
        <x:v>待核实</x:v>
      </x:c>
    </x:row>
    <x:row r="88" ht="21" customHeight="1">
      <x:c r="A88" t="str">
        <x:v>抚州市</x:v>
      </x:c>
      <x:c r="B88" t="str">
        <x:v>资溪县</x:v>
      </x:c>
      <x:c r="C88" t="str">
        <x:v>县</x:v>
      </x:c>
      <x:c r="D88" t="n">
        <x:f>'县级总表2025'!AB88</x:f>
        <x:v>0</x:v>
      </x:c>
      <x:c r="E88" t="str">
        <x:f>IF(D88&gt;=12,"已收集较多",IF(D88&gt;0,"部分已核实","待采集"))</x:f>
        <x:v>待采集</x:v>
      </x:c>
      <x:c r="F88" t="str">
        <x:v>优先检索2025统计公报、财政养老基金及退休人数</x:v>
      </x:c>
      <x:c r="G88" t="str">
        <x:v>资溪县 2025年 国民经济和社会发展统计公报 机关事业单位退休 人数 养老金 发放 公积金</x:v>
      </x:c>
      <x:c r="H88" t="str">
        <x:v>待核实</x:v>
      </x:c>
    </x:row>
    <x:row r="89" ht="21" customHeight="1">
      <x:c r="A89" t="str">
        <x:v>抚州市</x:v>
      </x:c>
      <x:c r="B89" t="str">
        <x:v>广昌县</x:v>
      </x:c>
      <x:c r="C89" t="str">
        <x:v>县</x:v>
      </x:c>
      <x:c r="D89" t="n">
        <x:f>'县级总表2025'!AB89</x:f>
        <x:v>0</x:v>
      </x:c>
      <x:c r="E89" t="str">
        <x:f>IF(D89&gt;=12,"已收集较多",IF(D89&gt;0,"部分已核实","待采集"))</x:f>
        <x:v>待采集</x:v>
      </x:c>
      <x:c r="F89" t="str">
        <x:v>优先检索2025统计公报、财政养老基金及退休人数</x:v>
      </x:c>
      <x:c r="G89" t="str">
        <x:v>广昌县 2025年 国民经济和社会发展统计公报 机关事业单位退休 人数 养老金 发放 公积金</x:v>
      </x:c>
      <x:c r="H89" t="str">
        <x:v>待核实</x:v>
      </x:c>
    </x:row>
    <x:row r="90" ht="21" customHeight="1">
      <x:c r="A90" t="str">
        <x:v>上饶市</x:v>
      </x:c>
      <x:c r="B90" t="str">
        <x:v>信州区</x:v>
      </x:c>
      <x:c r="C90" t="str">
        <x:v>区</x:v>
      </x:c>
      <x:c r="D90" t="n">
        <x:f>'县级总表2025'!AB90</x:f>
        <x:v>0</x:v>
      </x:c>
      <x:c r="E90" t="str">
        <x:f>IF(D90&gt;=12,"已收集较多",IF(D90&gt;0,"部分已核实","待采集"))</x:f>
        <x:v>待采集</x:v>
      </x:c>
      <x:c r="F90" t="str">
        <x:v>优先检索2025统计公报、财政养老基金及退休人数</x:v>
      </x:c>
      <x:c r="G90" t="str">
        <x:v>信州区 2025年 国民经济和社会发展统计公报 机关事业单位退休 人数 养老金 发放 公积金</x:v>
      </x:c>
      <x:c r="H90" t="str">
        <x:v>待核实</x:v>
      </x:c>
    </x:row>
    <x:row r="91" ht="21" customHeight="1">
      <x:c r="A91" t="str">
        <x:v>上饶市</x:v>
      </x:c>
      <x:c r="B91" t="str">
        <x:v>广丰区</x:v>
      </x:c>
      <x:c r="C91" t="str">
        <x:v>区</x:v>
      </x:c>
      <x:c r="D91" t="n">
        <x:f>'县级总表2025'!AB91</x:f>
        <x:v>0</x:v>
      </x:c>
      <x:c r="E91" t="str">
        <x:f>IF(D91&gt;=12,"已收集较多",IF(D91&gt;0,"部分已核实","待采集"))</x:f>
        <x:v>待采集</x:v>
      </x:c>
      <x:c r="F91" t="str">
        <x:v>优先检索2025统计公报、财政养老基金及退休人数</x:v>
      </x:c>
      <x:c r="G91" t="str">
        <x:v>广丰区 2025年 国民经济和社会发展统计公报 机关事业单位退休 人数 养老金 发放 公积金</x:v>
      </x:c>
      <x:c r="H91" t="str">
        <x:v>待核实</x:v>
      </x:c>
    </x:row>
    <x:row r="92" ht="21" customHeight="1">
      <x:c r="A92" t="str">
        <x:v>上饶市</x:v>
      </x:c>
      <x:c r="B92" t="str">
        <x:v>广信区</x:v>
      </x:c>
      <x:c r="C92" t="str">
        <x:v>区</x:v>
      </x:c>
      <x:c r="D92" t="n">
        <x:f>'县级总表2025'!AB92</x:f>
        <x:v>0</x:v>
      </x:c>
      <x:c r="E92" t="str">
        <x:f>IF(D92&gt;=12,"已收集较多",IF(D92&gt;0,"部分已核实","待采集"))</x:f>
        <x:v>待采集</x:v>
      </x:c>
      <x:c r="F92" t="str">
        <x:v>优先检索2025统计公报、财政养老基金及退休人数</x:v>
      </x:c>
      <x:c r="G92" t="str">
        <x:v>广信区 2025年 国民经济和社会发展统计公报 机关事业单位退休 人数 养老金 发放 公积金</x:v>
      </x:c>
      <x:c r="H92" t="str">
        <x:v>待核实</x:v>
      </x:c>
    </x:row>
    <x:row r="93" ht="21" customHeight="1">
      <x:c r="A93" t="str">
        <x:v>上饶市</x:v>
      </x:c>
      <x:c r="B93" t="str">
        <x:v>德兴市</x:v>
      </x:c>
      <x:c r="C93" t="str">
        <x:v>县级市</x:v>
      </x:c>
      <x:c r="D93" t="n">
        <x:f>'县级总表2025'!AB93</x:f>
        <x:v>0</x:v>
      </x:c>
      <x:c r="E93" t="str">
        <x:f>IF(D93&gt;=12,"已收集较多",IF(D93&gt;0,"部分已核实","待采集"))</x:f>
        <x:v>待采集</x:v>
      </x:c>
      <x:c r="F93" t="str">
        <x:v>优先检索2025统计公报、财政养老基金及退休人数</x:v>
      </x:c>
      <x:c r="G93" t="str">
        <x:v>德兴市 2025年 国民经济和社会发展统计公报 机关事业单位退休 人数 养老金 发放 公积金</x:v>
      </x:c>
      <x:c r="H93" t="str">
        <x:v>待核实</x:v>
      </x:c>
    </x:row>
    <x:row r="94" ht="21" customHeight="1">
      <x:c r="A94" t="str">
        <x:v>上饶市</x:v>
      </x:c>
      <x:c r="B94" t="str">
        <x:v>玉山县</x:v>
      </x:c>
      <x:c r="C94" t="str">
        <x:v>县</x:v>
      </x:c>
      <x:c r="D94" t="n">
        <x:f>'县级总表2025'!AB94</x:f>
        <x:v>7</x:v>
      </x:c>
      <x:c r="E94" t="str">
        <x:f>IF(D94&gt;=12,"已收集较多",IF(D94&gt;0,"部分已核实","待采集"))</x:f>
        <x:v>部分已核实</x:v>
      </x:c>
      <x:c r="F94" t="str">
        <x:v>优先检索2025统计公报、财政养老基金及退休人数</x:v>
      </x:c>
      <x:c r="G94" t="str">
        <x:v>玉山县 2025年 国民经济和社会发展统计公报 机关事业单位退休 人数 养老金 发放 公积金</x:v>
      </x:c>
      <x:c r="H94" t="str">
        <x:v>有原始链接</x:v>
      </x:c>
    </x:row>
    <x:row r="95" ht="21" customHeight="1">
      <x:c r="A95" t="str">
        <x:v>上饶市</x:v>
      </x:c>
      <x:c r="B95" t="str">
        <x:v>铅山县</x:v>
      </x:c>
      <x:c r="C95" t="str">
        <x:v>县</x:v>
      </x:c>
      <x:c r="D95" t="n">
        <x:f>'县级总表2025'!AB95</x:f>
        <x:v>0</x:v>
      </x:c>
      <x:c r="E95" t="str">
        <x:f>IF(D95&gt;=12,"已收集较多",IF(D95&gt;0,"部分已核实","待采集"))</x:f>
        <x:v>待采集</x:v>
      </x:c>
      <x:c r="F95" t="str">
        <x:v>优先检索2025统计公报、财政养老基金及退休人数</x:v>
      </x:c>
      <x:c r="G95" t="str">
        <x:v>铅山县 2025年 国民经济和社会发展统计公报 机关事业单位退休 人数 养老金 发放 公积金</x:v>
      </x:c>
      <x:c r="H95" t="str">
        <x:v>待核实</x:v>
      </x:c>
    </x:row>
    <x:row r="96" ht="21" customHeight="1">
      <x:c r="A96" t="str">
        <x:v>上饶市</x:v>
      </x:c>
      <x:c r="B96" t="str">
        <x:v>横峰县</x:v>
      </x:c>
      <x:c r="C96" t="str">
        <x:v>县</x:v>
      </x:c>
      <x:c r="D96" t="n">
        <x:f>'县级总表2025'!AB96</x:f>
        <x:v>0</x:v>
      </x:c>
      <x:c r="E96" t="str">
        <x:f>IF(D96&gt;=12,"已收集较多",IF(D96&gt;0,"部分已核实","待采集"))</x:f>
        <x:v>待采集</x:v>
      </x:c>
      <x:c r="F96" t="str">
        <x:v>优先检索2025统计公报、财政养老基金及退休人数</x:v>
      </x:c>
      <x:c r="G96" t="str">
        <x:v>横峰县 2025年 国民经济和社会发展统计公报 机关事业单位退休 人数 养老金 发放 公积金</x:v>
      </x:c>
      <x:c r="H96" t="str">
        <x:v>待核实</x:v>
      </x:c>
    </x:row>
    <x:row r="97" ht="21" customHeight="1">
      <x:c r="A97" t="str">
        <x:v>上饶市</x:v>
      </x:c>
      <x:c r="B97" t="str">
        <x:v>弋阳县</x:v>
      </x:c>
      <x:c r="C97" t="str">
        <x:v>县</x:v>
      </x:c>
      <x:c r="D97" t="n">
        <x:f>'县级总表2025'!AB97</x:f>
        <x:v>0</x:v>
      </x:c>
      <x:c r="E97" t="str">
        <x:f>IF(D97&gt;=12,"已收集较多",IF(D97&gt;0,"部分已核实","待采集"))</x:f>
        <x:v>待采集</x:v>
      </x:c>
      <x:c r="F97" t="str">
        <x:v>优先检索2025统计公报、财政养老基金及退休人数</x:v>
      </x:c>
      <x:c r="G97" t="str">
        <x:v>弋阳县 2025年 国民经济和社会发展统计公报 机关事业单位退休 人数 养老金 发放 公积金</x:v>
      </x:c>
      <x:c r="H97" t="str">
        <x:v>待核实</x:v>
      </x:c>
    </x:row>
    <x:row r="98" ht="21" customHeight="1">
      <x:c r="A98" t="str">
        <x:v>上饶市</x:v>
      </x:c>
      <x:c r="B98" t="str">
        <x:v>余干县</x:v>
      </x:c>
      <x:c r="C98" t="str">
        <x:v>县</x:v>
      </x:c>
      <x:c r="D98" t="n">
        <x:f>'县级总表2025'!AB98</x:f>
        <x:v>0</x:v>
      </x:c>
      <x:c r="E98" t="str">
        <x:f>IF(D98&gt;=12,"已收集较多",IF(D98&gt;0,"部分已核实","待采集"))</x:f>
        <x:v>待采集</x:v>
      </x:c>
      <x:c r="F98" t="str">
        <x:v>优先检索2025统计公报、财政养老基金及退休人数</x:v>
      </x:c>
      <x:c r="G98" t="str">
        <x:v>余干县 2025年 国民经济和社会发展统计公报 机关事业单位退休 人数 养老金 发放 公积金</x:v>
      </x:c>
      <x:c r="H98" t="str">
        <x:v>待核实</x:v>
      </x:c>
    </x:row>
    <x:row r="99" ht="21" customHeight="1">
      <x:c r="A99" t="str">
        <x:v>上饶市</x:v>
      </x:c>
      <x:c r="B99" t="str">
        <x:v>鄱阳县</x:v>
      </x:c>
      <x:c r="C99" t="str">
        <x:v>县</x:v>
      </x:c>
      <x:c r="D99" t="n">
        <x:f>'县级总表2025'!AB99</x:f>
        <x:v>0</x:v>
      </x:c>
      <x:c r="E99" t="str">
        <x:f>IF(D99&gt;=12,"已收集较多",IF(D99&gt;0,"部分已核实","待采集"))</x:f>
        <x:v>待采集</x:v>
      </x:c>
      <x:c r="F99" t="str">
        <x:v>优先检索2025统计公报、财政养老基金及退休人数</x:v>
      </x:c>
      <x:c r="G99" t="str">
        <x:v>鄱阳县 2025年 国民经济和社会发展统计公报 机关事业单位退休 人数 养老金 发放 公积金</x:v>
      </x:c>
      <x:c r="H99" t="str">
        <x:v>待核实</x:v>
      </x:c>
    </x:row>
    <x:row r="100" ht="21" customHeight="1">
      <x:c r="A100" t="str">
        <x:v>上饶市</x:v>
      </x:c>
      <x:c r="B100" t="str">
        <x:v>万年县</x:v>
      </x:c>
      <x:c r="C100" t="str">
        <x:v>县</x:v>
      </x:c>
      <x:c r="D100" t="n">
        <x:f>'县级总表2025'!AB100</x:f>
        <x:v>0</x:v>
      </x:c>
      <x:c r="E100" t="str">
        <x:f>IF(D100&gt;=12,"已收集较多",IF(D100&gt;0,"部分已核实","待采集"))</x:f>
        <x:v>待采集</x:v>
      </x:c>
      <x:c r="F100" t="str">
        <x:v>优先检索2025统计公报、财政养老基金及退休人数</x:v>
      </x:c>
      <x:c r="G100" t="str">
        <x:v>万年县 2025年 国民经济和社会发展统计公报 机关事业单位退休 人数 养老金 发放 公积金</x:v>
      </x:c>
      <x:c r="H100" t="str">
        <x:v>待核实</x:v>
      </x:c>
    </x:row>
    <x:row r="101" ht="21" customHeight="1">
      <x:c r="A101" t="str">
        <x:v>上饶市</x:v>
      </x:c>
      <x:c r="B101" t="str">
        <x:v>婺源县</x:v>
      </x:c>
      <x:c r="C101" t="str">
        <x:v>县</x:v>
      </x:c>
      <x:c r="D101" t="n">
        <x:f>'县级总表2025'!AB101</x:f>
        <x:v>7</x:v>
      </x:c>
      <x:c r="E101" t="str">
        <x:f>IF(D101&gt;=12,"已收集较多",IF(D101&gt;0,"部分已核实","待采集"))</x:f>
        <x:v>部分已核实</x:v>
      </x:c>
      <x:c r="F101" t="str">
        <x:v>优先检索2025统计公报、财政养老基金及退休人数</x:v>
      </x:c>
      <x:c r="G101" t="str">
        <x:v>婺源县 2025年 国民经济和社会发展统计公报 机关事业单位退休 人数 养老金 发放 公积金</x:v>
      </x:c>
      <x:c r="H101" t="str">
        <x:v>有原始链接</x:v>
      </x:c>
    </x:row>
  </x:sheetData>
  <x:conditionalFormatting sqref="D2:D101">
    <x:cfRule type="dataBar" priority="1">
      <x:dataBar>
        <x:cfvo type="min"/>
        <x:cfvo type="max"/>
        <x:color rgb="FF20A78E"/>
      </x:dataBar>
      <x:extLst>
        <x:ext xmlns:x14="http://schemas.microsoft.com/office/spreadsheetml/2009/9/main" uri="{B025F937-C7B1-47D3-B67F-A62EFF666E3E}">
          <x14:id>{89B69EEC-0B15-F148-4012-2B1044997B7F}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ab0f7d85774c434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89B69EEC-0B15-F148-4012-2B1044997B7F}">
            <x14:dataBar gradient="1">
              <x14:cfvo type="min"/>
              <x14:cfvo type="max"/>
              <x14:fillColor rgb="FF20A78E"/>
            </x14:dataBar>
          </x14:cfRule>
          <xm:sqref>D2:D101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24" hidden="0" customWidth="1"/>
    <x:col min="3" max="3" width="26" hidden="0" customWidth="1"/>
    <x:col min="4" max="4" width="48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5" customHeight="1">
      <x:c r="A1" s="35" t="str">
        <x:v>江西省 · 2025年县域社会保障与人口就业研究数据库</x:v>
      </x:c>
      <x:c r="B1" s="35"/>
      <x:c r="C1" s="35"/>
      <x:c r="D1" s="35"/>
      <x:c r="E1" s="35"/>
      <x:c r="F1" s="35"/>
      <x:c r="G1" s="35"/>
      <x:c r="H1" s="35"/>
    </x:row>
    <x:row r="2" ht="35" customHeight="1">
      <x:c r="A2" s="35"/>
      <x:c r="B2" s="35"/>
      <x:c r="C2" s="35"/>
      <x:c r="D2" s="35"/>
      <x:c r="E2" s="35"/>
      <x:c r="F2" s="35"/>
      <x:c r="G2" s="35"/>
      <x:c r="H2" s="35"/>
    </x:row>
    <x:row r="3" ht="24" customHeight="1">
      <x:c r="A3" s="39" t="str">
        <x:v>县级行政区全量清单 × 养老金三制度 × 人口年龄结构 × 就业 × 市级住房公积金</x:v>
      </x:c>
      <x:c r="B3" s="39"/>
      <x:c r="C3" s="39"/>
      <x:c r="D3" s="39"/>
      <x:c r="E3" s="39"/>
      <x:c r="F3" s="39"/>
      <x:c r="G3" s="39"/>
      <x:c r="H3" s="39"/>
    </x:row>
    <x:row r="5" ht="32" customHeight="1">
      <x:c r="A5" s="6" t="str">
        <x:v>覆盖范围</x:v>
      </x:c>
      <x:c r="B5" s="6" t="str">
        <x:v>2025数据</x:v>
      </x:c>
      <x:c r="C5" s="6" t="str">
        <x:v>分析状态</x:v>
      </x:c>
      <x:c r="D5" s="6" t="str">
        <x:v>审计入口</x:v>
      </x:c>
    </x:row>
    <x:row r="6" ht="28" customHeight="1">
      <x:c r="A6" t="str">
        <x:v>县级行政区总数</x:v>
      </x:c>
      <x:c r="B6" s="44" t="n">
        <x:v>100</x:v>
      </x:c>
      <x:c r="C6" t="str">
        <x:v>全量行政名录</x:v>
      </x:c>
      <x:c r="D6" t="str">
        <x:v>县级总表2025</x:v>
      </x:c>
    </x:row>
    <x:row r="7" ht="28" customHeight="1">
      <x:c r="A7" t="str">
        <x:v>有可用2025量化数据的县级单位</x:v>
      </x:c>
      <x:c r="B7" s="44" t="n">
        <x:f>COUNTIF('县级总表2025'!$AB$2:$AB$101,"&gt;0")</x:f>
        <x:v>33</x:v>
      </x:c>
      <x:c r="C7" t="str">
        <x:v>统计公报等已录入</x:v>
      </x:c>
      <x:c r="D7" t="str">
        <x:v>县级总表2025</x:v>
      </x:c>
    </x:row>
    <x:row r="8" ht="28" customHeight="1">
      <x:c r="A8" t="str">
        <x:v>三类养老金金额齐全的县级单位</x:v>
      </x:c>
      <x:c r="B8" s="44" t="n">
        <x:f>COUNTIF(养老金比较!S2:S101,"完整")</x:f>
        <x:v>2</x:v>
      </x:c>
      <x:c r="C8" t="str">
        <x:v>有年度金额可比</x:v>
      </x:c>
      <x:c r="D8" t="str">
        <x:v>养老金比较</x:v>
      </x:c>
    </x:row>
    <x:row r="9" ht="28" customHeight="1">
      <x:c r="A9" t="str">
        <x:v>三类领取人数齐全的县级单位</x:v>
      </x:c>
      <x:c r="B9" s="44" t="n">
        <x:f>COUNTIF(养老金比较!T2:T101,"完整")</x:f>
        <x:v>3</x:v>
      </x:c>
      <x:c r="C9" t="str">
        <x:v>有待遇人数可比</x:v>
      </x:c>
      <x:c r="D9" t="str">
        <x:v>养老金比较</x:v>
      </x:c>
    </x:row>
    <x:row r="10" ht="28" customHeight="1">
      <x:c r="A10" t="str">
        <x:v>三类金额+人数全部齐全的县级单位</x:v>
      </x:c>
      <x:c r="B10" s="44" t="n">
        <x:f>COUNTIFS(养老金比较!S2:S101,"完整",养老金比较!T2:T101,"完整")</x:f>
        <x:v>1</x:v>
      </x:c>
      <x:c r="C10" t="str">
        <x:v>可比人均养老金</x:v>
      </x:c>
      <x:c r="D10" t="str">
        <x:v>养老金比较</x:v>
      </x:c>
    </x:row>
    <x:row r="11" ht="28" customHeight="1">
      <x:c r="A11" t="str">
        <x:v>住房公积金年度报告覆盖地级市</x:v>
      </x:c>
      <x:c r="B11" s="44" t="n">
        <x:v>11</x:v>
      </x:c>
      <x:c r="C11" t="str">
        <x:v>全市级，非县级</x:v>
      </x:c>
      <x:c r="D11" t="str">
        <x:v>公积金_11市</x:v>
      </x:c>
    </x:row>
    <x:row r="13" ht="32" customHeight="1">
      <x:c r="A13" s="6" t="str">
        <x:v>重点县级养老对比</x:v>
      </x:c>
      <x:c r="B13" s="6" t="str">
        <x:v>企业月均_元</x:v>
      </x:c>
      <x:c r="C13" s="6" t="str">
        <x:v>机关月均_元</x:v>
      </x:c>
      <x:c r="D13" s="6" t="str">
        <x:v>城乡居民月均_元</x:v>
      </x:c>
    </x:row>
    <x:row r="14" ht="28" customHeight="1">
      <x:c r="A14" t="str">
        <x:v>峡江县（唯一三类金额+人数全具备）</x:v>
      </x:c>
      <x:c r="B14" s="49" t="n">
        <x:f>IFERROR(INDEX(养老金比较!N2:N101,MATCH("峡江县",养老金比较!B2:B101,0)),"")</x:f>
        <x:v>2185.9938200419883</x:v>
      </x:c>
      <x:c r="C14" s="49" t="n">
        <x:f>IFERROR(INDEX(养老金比较!O2:O101,MATCH("峡江县",养老金比较!B2:B101,0)),"")</x:f>
        <x:v>5388.9221158958</x:v>
      </x:c>
      <x:c r="D14" s="49" t="n">
        <x:f>IFERROR(INDEX(养老金比较!P2:P101,MATCH("峡江县",养老金比较!B2:B101,0)),"")</x:f>
        <x:v>240.8871390117051</x:v>
      </x:c>
    </x:row>
    <x:row r="16" ht="32" customHeight="1">
      <x:c r="A16" s="6" t="str">
        <x:v>2025养老金结构</x:v>
      </x:c>
      <x:c r="B16" s="6" t="str">
        <x:v>机关事业金额占比</x:v>
      </x:c>
      <x:c r="C16" s="6" t="str">
        <x:v>机关事业人数占比</x:v>
      </x:c>
      <x:c r="D16" s="6" t="str">
        <x:v>解释</x:v>
      </x:c>
    </x:row>
    <x:row r="17" ht="28" customHeight="1">
      <x:c r="A17" t="str">
        <x:v>峡江县</x:v>
      </x:c>
      <x:c r="B17" s="53" t="n">
        <x:f>IFERROR(INDEX(养老金比较!K2:K101,MATCH("峡江县",养老金比较!B2:B101,0)),"")</x:f>
        <x:v>0.30201722216035654</x:v>
      </x:c>
      <x:c r="C17" s="53" t="n">
        <x:f>IFERROR(INDEX(养老金比较!M2:M101,MATCH("峡江县",养老金比较!B2:B101,0)),"")</x:f>
        <x:v>0.060950714494021584</x:v>
      </x:c>
      <x:c r="D17" t="str">
        <x:v>仅峡江县；不得推断全省分配比例</x:v>
      </x:c>
    </x:row>
    <x:row r="20" ht="25" customHeight="1">
      <x:c r="A20" s="57" t="str">
        <x:v>数据边界：2025已录县区指标并非100%覆盖；空白≠零。公积金数据只有11个地级市。县社保基金支出≠养老金待遇发放。</x:v>
      </x:c>
      <x:c r="B20" s="57"/>
      <x:c r="C20" s="57"/>
      <x:c r="D20" s="57"/>
      <x:c r="E20" s="57"/>
      <x:c r="F20" s="57"/>
      <x:c r="G20" s="57"/>
      <x:c r="H20" s="57"/>
    </x:row>
    <x:row r="22" ht="25" customHeight="1">
      <x:c r="A22" s="57" t="str">
        <x:v>源文件网址及每个指标对应口径请在“指标证据明细”中筛选，县级缺口请在“县区采集进度”查看。</x:v>
      </x:c>
      <x:c r="B22" s="57"/>
      <x:c r="C22" s="57"/>
      <x:c r="D22" s="57"/>
      <x:c r="E22" s="57"/>
      <x:c r="F22" s="57"/>
      <x:c r="G22" s="57"/>
      <x:c r="H22" s="57"/>
    </x:row>
    <x:row r="24" ht="42" customHeight="1">
      <x:c r="A24" s="85" t="str">
        <x:v>新增跨年与制度研究工作表：研究结论看板、峡江养老金两年追踪、赣州18县人口2024_25、制度规则与证据等级、公积金城市分层等。</x:v>
      </x:c>
      <x:c r="B24" s="85"/>
      <x:c r="C24" s="85"/>
      <x:c r="D24" s="85"/>
    </x:row>
  </x:sheetData>
  <x:mergeCells>
    <x:mergeCell ref="A1:H2"/>
    <x:mergeCell ref="A3:H3"/>
    <x:mergeCell ref="A20:H20"/>
    <x:mergeCell ref="A22:H22"/>
    <x:mergeCell ref="A24:D2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1" hidden="0" customWidth="1"/>
    <x:col min="2" max="2" width="14" hidden="0" customWidth="1"/>
    <x:col min="3" max="3" width="16" hidden="0" customWidth="1"/>
    <x:col min="4" max="4" width="17" hidden="0" customWidth="1"/>
    <x:col min="5" max="5" width="16" hidden="0" customWidth="1"/>
    <x:col min="6" max="6" width="17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17" hidden="0" customWidth="1"/>
    <x:col min="12" max="12" width="16" hidden="0" customWidth="1"/>
    <x:col min="13" max="13" width="16" hidden="0" customWidth="1"/>
    <x:col min="14" max="14" width="48" hidden="0" customWidth="1"/>
    <x:col min="15" max="15" width="55" hidden="0" customWidth="1"/>
  </x:cols>
  <x:sheetData>
    <x:row r="1" ht="34" customHeight="1">
      <x:c r="A1" s="62" t="str">
        <x:v>峡江县 · 2024—2025年三类养老金与缴费结构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  <x:c r="N1" s="62"/>
      <x:c r="O1" s="62"/>
    </x:row>
    <x:row r="3" ht="34" customHeight="1">
      <x:c r="A3" s="66" t="str">
        <x:v>年份</x:v>
      </x:c>
      <x:c r="B3" s="66" t="str">
        <x:v>群体</x:v>
      </x:c>
      <x:c r="C3" s="66" t="str">
        <x:v>领取人数_人</x:v>
      </x:c>
      <x:c r="D3" s="66" t="str">
        <x:v>发放_万元</x:v>
      </x:c>
      <x:c r="E3" s="66" t="str">
        <x:v>估算月均_元</x:v>
      </x:c>
      <x:c r="F3" s="66" t="str">
        <x:v>三类领取合计_人</x:v>
      </x:c>
      <x:c r="G3" s="66" t="str">
        <x:v>三类金额合计_万元</x:v>
      </x:c>
      <x:c r="H3" s="66" t="str">
        <x:v>金额占比</x:v>
      </x:c>
      <x:c r="I3" s="66" t="str">
        <x:v>人数占比</x:v>
      </x:c>
      <x:c r="J3" s="66" t="str">
        <x:v>在职/缴费人数_人</x:v>
      </x:c>
      <x:c r="K3" s="66" t="str">
        <x:v>年度征缴_万元</x:v>
      </x:c>
      <x:c r="L3" s="66" t="str">
        <x:v>缴费人/领待人</x:v>
      </x:c>
      <x:c r="M3" s="66" t="str">
        <x:v>征缴/发放比例</x:v>
      </x:c>
      <x:c r="N3" s="66" t="str">
        <x:v>出处网址</x:v>
      </x:c>
      <x:c r="O3" s="66" t="str">
        <x:v>重要口径备注</x:v>
      </x:c>
    </x:row>
    <x:row r="4" ht="25" customHeight="1">
      <x:c r="A4" s="67" t="n">
        <x:v>2024</x:v>
      </x:c>
      <x:c r="B4" s="67" t="str">
        <x:v>企业职工</x:v>
      </x:c>
      <x:c r="C4" s="67" t="n">
        <x:v>10779</x:v>
      </x:c>
      <x:c r="D4" s="67" t="n">
        <x:v>26955.46</x:v>
      </x:c>
      <x:c r="E4" s="68" t="n">
        <x:f>IFERROR(D4*10000/(C4*12),"")</x:f>
        <x:v>2083.948727463896</x:v>
      </x:c>
      <x:c r="F4" s="67" t="n">
        <x:f>SUM($C$4:$C$6)</x:f>
        <x:v>39227</x:v>
      </x:c>
      <x:c r="G4" s="67" t="n">
        <x:f>SUM($D$4:$D$6)</x:f>
        <x:v>48140.380000000005</x:v>
      </x:c>
      <x:c r="H4" s="69" t="n">
        <x:f>IFERROR(D4/G4,"")</x:f>
        <x:v>0.5599345082028849</x:v>
      </x:c>
      <x:c r="I4" s="69" t="n">
        <x:f>IFERROR(C4/F4,"")</x:f>
        <x:v>0.2747852244627425</x:v>
      </x:c>
      <x:c r="J4" s="67" t="n">
        <x:v>24495</x:v>
      </x:c>
      <x:c r="K4" s="67" t="n">
        <x:v>18642.9</x:v>
      </x:c>
      <x:c r="L4" s="69" t="n">
        <x:f>IFERROR(J4/C4,"")</x:f>
        <x:v>2.272474255496799</x:v>
      </x:c>
      <x:c r="M4" s="69" t="n">
        <x:f>IFERROR(K4/D4,"")</x:f>
        <x:v>0.6916186924652743</x:v>
      </x:c>
      <x:c r="N4" s="67" t="str">
        <x:v>https://tjgb.hongheiku.com/xjtjgb/xj2020/65339.html</x:v>
      </x:c>
      <x:c r="O4" s="67" t="str">
        <x:v>城乡居民J列为实际缴费人数，另两类为在职参保人数；不可合并口径。</x:v>
      </x:c>
    </x:row>
    <x:row r="5" ht="25" customHeight="1">
      <x:c r="A5" s="67" t="n">
        <x:v>2024</x:v>
      </x:c>
      <x:c r="B5" s="67" t="str">
        <x:v>机关事业</x:v>
      </x:c>
      <x:c r="C5" s="67" t="n">
        <x:v>2453</x:v>
      </x:c>
      <x:c r="D5" s="67" t="n">
        <x:v>15209.48</x:v>
      </x:c>
      <x:c r="E5" s="68" t="n">
        <x:f>IFERROR(D5*10000/(C5*12),"")</x:f>
        <x:v>5166.965620328849</x:v>
      </x:c>
      <x:c r="F5" s="67" t="n">
        <x:f>SUM($C$4:$C$6)</x:f>
        <x:v>39227</x:v>
      </x:c>
      <x:c r="G5" s="67" t="n">
        <x:f>SUM($D$4:$D$6)</x:f>
        <x:v>48140.380000000005</x:v>
      </x:c>
      <x:c r="H5" s="69" t="n">
        <x:f>IFERROR(D5/G5,"")</x:f>
        <x:v>0.3159401733014986</x:v>
      </x:c>
      <x:c r="I5" s="69" t="n">
        <x:f>IFERROR(C5/F5,"")</x:f>
        <x:v>0.0625334590970505</x:v>
      </x:c>
      <x:c r="J5" s="67" t="n">
        <x:v>4977</x:v>
      </x:c>
      <x:c r="K5" s="67" t="n">
        <x:v>11378.18</x:v>
      </x:c>
      <x:c r="L5" s="69" t="n">
        <x:f>IFERROR(J5/C5,"")</x:f>
        <x:v>2.0289441500203833</x:v>
      </x:c>
      <x:c r="M5" s="69" t="n">
        <x:f>IFERROR(K5/D5,"")</x:f>
        <x:v>0.7480978968380247</x:v>
      </x:c>
      <x:c r="N5" s="67" t="str">
        <x:v>https://tjgb.hongheiku.com/xjtjgb/xj2020/65339.html</x:v>
      </x:c>
      <x:c r="O5" s="67" t="str">
        <x:v>城乡居民J列为实际缴费人数，另两类为在职参保人数；不可合并口径。</x:v>
      </x:c>
    </x:row>
    <x:row r="6" ht="25" customHeight="1">
      <x:c r="A6" s="67" t="n">
        <x:v>2024</x:v>
      </x:c>
      <x:c r="B6" s="67" t="str">
        <x:v>城乡居民</x:v>
      </x:c>
      <x:c r="C6" s="67" t="n">
        <x:v>25995</x:v>
      </x:c>
      <x:c r="D6" s="67" t="n">
        <x:v>5975.44</x:v>
      </x:c>
      <x:c r="E6" s="68" t="n">
        <x:f>IFERROR(D6*10000/(C6*12),"")</x:f>
        <x:v>191.55735077258444</x:v>
      </x:c>
      <x:c r="F6" s="67" t="n">
        <x:f>SUM($C$4:$C$6)</x:f>
        <x:v>39227</x:v>
      </x:c>
      <x:c r="G6" s="67" t="n">
        <x:f>SUM($D$4:$D$6)</x:f>
        <x:v>48140.380000000005</x:v>
      </x:c>
      <x:c r="H6" s="69" t="n">
        <x:f>IFERROR(D6/G6,"")</x:f>
        <x:v>0.12412531849561634</x:v>
      </x:c>
      <x:c r="I6" s="69" t="n">
        <x:f>IFERROR(C6/F6,"")</x:f>
        <x:v>0.662681316440207</x:v>
      </x:c>
      <x:c r="J6" s="67" t="n">
        <x:v>33989</x:v>
      </x:c>
      <x:c r="K6" s="67" t="n">
        <x:v>4208.58</x:v>
      </x:c>
      <x:c r="L6" s="69" t="n">
        <x:f>IFERROR(J6/C6,"")</x:f>
        <x:v>1.3075206770532795</x:v>
      </x:c>
      <x:c r="M6" s="69" t="n">
        <x:f>IFERROR(K6/D6,"")</x:f>
        <x:v>0.7043129878301849</x:v>
      </x:c>
      <x:c r="N6" s="67" t="str">
        <x:v>https://tjgb.hongheiku.com/xjtjgb/xj2020/65339.html</x:v>
      </x:c>
      <x:c r="O6" s="67" t="str">
        <x:v>城乡居民J列为实际缴费人数，另两类为在职参保人数；不可合并口径。</x:v>
      </x:c>
    </x:row>
    <x:row r="7" ht="25" customHeight="1">
      <x:c r="A7" s="67" t="n">
        <x:v>2025</x:v>
      </x:c>
      <x:c r="B7" s="67" t="str">
        <x:v>企业职工</x:v>
      </x:c>
      <x:c r="C7" s="67" t="n">
        <x:v>11273</x:v>
      </x:c>
      <x:c r="D7" s="67" t="n">
        <x:v>29571.25</x:v>
      </x:c>
      <x:c r="E7" s="68" t="n">
        <x:f>IFERROR(D7*10000/(C7*12),"")</x:f>
        <x:v>2185.9938200419883</x:v>
      </x:c>
      <x:c r="F7" s="67" t="n">
        <x:f>SUM($C$7:$C$9)</x:f>
        <x:v>41148</x:v>
      </x:c>
      <x:c r="G7" s="67" t="n">
        <x:f>SUM($D$7:$D$9)</x:f>
        <x:v>53700.58</x:v>
      </x:c>
      <x:c r="H7" s="69" t="n">
        <x:f>IFERROR(D7/G7,"")</x:f>
        <x:v>0.5506690989184847</x:v>
      </x:c>
      <x:c r="I7" s="69" t="n">
        <x:f>IFERROR(C7/F7,"")</x:f>
        <x:v>0.27396228249246624</x:v>
      </x:c>
      <x:c r="J7" s="67" t="n">
        <x:v>23914</x:v>
      </x:c>
      <x:c r="K7" s="67" t="n">
        <x:v>20208.14</x:v>
      </x:c>
      <x:c r="L7" s="69" t="n">
        <x:f>IFERROR(J7/C7,"")</x:f>
        <x:v>2.1213519027765457</x:v>
      </x:c>
      <x:c r="M7" s="69" t="n">
        <x:f>IFERROR(K7/D7,"")</x:f>
        <x:v>0.6833711797776556</x:v>
      </x:c>
      <x:c r="N7" s="67" t="str">
        <x:v>https://tjgb.hongheiku.com/xjtjgb/xj2020/73609.html</x:v>
      </x:c>
      <x:c r="O7" s="67" t="str">
        <x:v>城乡居民J列为实际缴费人数，另两类为在职参保人数；不可合并口径。</x:v>
      </x:c>
    </x:row>
    <x:row r="8" ht="25" customHeight="1">
      <x:c r="A8" s="67" t="n">
        <x:v>2025</x:v>
      </x:c>
      <x:c r="B8" s="67" t="str">
        <x:v>机关事业</x:v>
      </x:c>
      <x:c r="C8" s="67" t="n">
        <x:v>2508</x:v>
      </x:c>
      <x:c r="D8" s="67" t="n">
        <x:v>16218.5</x:v>
      </x:c>
      <x:c r="E8" s="68" t="n">
        <x:f>IFERROR(D8*10000/(C8*12),"")</x:f>
        <x:v>5388.9221158958</x:v>
      </x:c>
      <x:c r="F8" s="67" t="n">
        <x:f>SUM($C$7:$C$9)</x:f>
        <x:v>41148</x:v>
      </x:c>
      <x:c r="G8" s="67" t="n">
        <x:f>SUM($D$7:$D$9)</x:f>
        <x:v>53700.58</x:v>
      </x:c>
      <x:c r="H8" s="69" t="n">
        <x:f>IFERROR(D8/G8,"")</x:f>
        <x:v>0.30201722216035654</x:v>
      </x:c>
      <x:c r="I8" s="69" t="n">
        <x:f>IFERROR(C8/F8,"")</x:f>
        <x:v>0.060950714494021584</x:v>
      </x:c>
      <x:c r="J8" s="67" t="n">
        <x:v>4952</x:v>
      </x:c>
      <x:c r="K8" s="67" t="n">
        <x:v>11723.52</x:v>
      </x:c>
      <x:c r="L8" s="69" t="n">
        <x:f>IFERROR(J8/C8,"")</x:f>
        <x:v>1.974481658692185</x:v>
      </x:c>
      <x:c r="M8" s="69" t="n">
        <x:f>IFERROR(K8/D8,"")</x:f>
        <x:v>0.7228485988223325</x:v>
      </x:c>
      <x:c r="N8" s="67" t="str">
        <x:v>https://tjgb.hongheiku.com/xjtjgb/xj2020/73609.html</x:v>
      </x:c>
      <x:c r="O8" s="67" t="str">
        <x:v>城乡居民J列为实际缴费人数，另两类为在职参保人数；不可合并口径。</x:v>
      </x:c>
    </x:row>
    <x:row r="9" ht="25" customHeight="1">
      <x:c r="A9" s="67" t="n">
        <x:v>2025</x:v>
      </x:c>
      <x:c r="B9" s="67" t="str">
        <x:v>城乡居民</x:v>
      </x:c>
      <x:c r="C9" s="67" t="n">
        <x:v>27367</x:v>
      </x:c>
      <x:c r="D9" s="67" t="n">
        <x:v>7910.83</x:v>
      </x:c>
      <x:c r="E9" s="68" t="n">
        <x:f>IFERROR(D9*10000/(C9*12),"")</x:f>
        <x:v>240.8871390117051</x:v>
      </x:c>
      <x:c r="F9" s="67" t="n">
        <x:f>SUM($C$7:$C$9)</x:f>
        <x:v>41148</x:v>
      </x:c>
      <x:c r="G9" s="67" t="n">
        <x:f>SUM($D$7:$D$9)</x:f>
        <x:v>53700.58</x:v>
      </x:c>
      <x:c r="H9" s="69" t="n">
        <x:f>IFERROR(D9/G9,"")</x:f>
        <x:v>0.14731367892115876</x:v>
      </x:c>
      <x:c r="I9" s="69" t="n">
        <x:f>IFERROR(C9/F9,"")</x:f>
        <x:v>0.6650870030135122</x:v>
      </x:c>
      <x:c r="J9" s="67" t="n">
        <x:v>31028</x:v>
      </x:c>
      <x:c r="K9" s="67" t="n">
        <x:v>5134.06</x:v>
      </x:c>
      <x:c r="L9" s="69" t="n">
        <x:f>IFERROR(J9/C9,"")</x:f>
        <x:v>1.133774253663171</x:v>
      </x:c>
      <x:c r="M9" s="69" t="n">
        <x:f>IFERROR(K9/D9,"")</x:f>
        <x:v>0.6489913194949203</x:v>
      </x:c>
      <x:c r="N9" s="67" t="str">
        <x:v>https://tjgb.hongheiku.com/xjtjgb/xj2020/73609.html</x:v>
      </x:c>
      <x:c r="O9" s="67" t="str">
        <x:v>城乡居民J列为实际缴费人数，另两类为在职参保人数；不可合并口径。</x:v>
      </x:c>
    </x:row>
    <x:row r="12" ht="26" customHeight="1">
      <x:c r="A12" s="71" t="str">
        <x:v>群体</x:v>
      </x:c>
      <x:c r="B12" s="71" t="str">
        <x:v>2024月均</x:v>
      </x:c>
      <x:c r="C12" s="71" t="str">
        <x:v>2025月均</x:v>
      </x:c>
      <x:c r="D12" s="71" t="str">
        <x:v>估算月均变动</x:v>
      </x:c>
      <x:c r="E12" s="71" t="str">
        <x:v>发放总额变动</x:v>
      </x:c>
      <x:c r="F12" s="71" t="str">
        <x:v>领取人数变动</x:v>
      </x:c>
      <x:c r="G12" s="71" t="str">
        <x:v>2024金额占比</x:v>
      </x:c>
      <x:c r="H12" s="71" t="str">
        <x:v>2025金额占比</x:v>
      </x:c>
    </x:row>
    <x:row r="13">
      <x:c r="A13" t="str">
        <x:v>企业职工</x:v>
      </x:c>
      <x:c r="B13" s="14" t="n">
        <x:f>E4</x:f>
        <x:v>2083.948727463896</x:v>
      </x:c>
      <x:c r="C13" s="14" t="n">
        <x:f>E7</x:f>
        <x:v>2185.9938200419883</x:v>
      </x:c>
      <x:c r="D13" s="18" t="n">
        <x:f>IFERROR(C13/B13-1,"")</x:f>
        <x:v>0.04896718006218803</x:v>
      </x:c>
      <x:c r="E13" s="18" t="n">
        <x:f>IFERROR(D7/D4-1,"")</x:f>
        <x:v>0.09704119313860726</x:v>
      </x:c>
      <x:c r="F13" s="18" t="n">
        <x:f>IFERROR(C7/C4-1,"")</x:f>
        <x:v>0.0458298543464144</x:v>
      </x:c>
      <x:c r="G13" s="18" t="n">
        <x:f>H4</x:f>
        <x:v>0.5599345082028849</x:v>
      </x:c>
      <x:c r="H13" s="18" t="n">
        <x:f>H7</x:f>
        <x:v>0.5506690989184847</x:v>
      </x:c>
    </x:row>
    <x:row r="14">
      <x:c r="A14" t="str">
        <x:v>机关事业</x:v>
      </x:c>
      <x:c r="B14" s="14" t="n">
        <x:f>E5</x:f>
        <x:v>5166.965620328849</x:v>
      </x:c>
      <x:c r="C14" s="14" t="n">
        <x:f>E8</x:f>
        <x:v>5388.9221158958</x:v>
      </x:c>
      <x:c r="D14" s="18" t="n">
        <x:f>IFERROR(C14/B14-1,"")</x:f>
        <x:v>0.04295683615421941</x:v>
      </x:c>
      <x:c r="E14" s="18" t="n">
        <x:f>IFERROR(D8/D5-1,"")</x:f>
        <x:v>0.06634151857920201</x:v>
      </x:c>
      <x:c r="F14" s="18" t="n">
        <x:f>IFERROR(C8/C5-1,"")</x:f>
        <x:v>0.022421524663677195</x:v>
      </x:c>
      <x:c r="G14" s="18" t="n">
        <x:f>H5</x:f>
        <x:v>0.3159401733014986</x:v>
      </x:c>
      <x:c r="H14" s="18" t="n">
        <x:f>H8</x:f>
        <x:v>0.30201722216035654</x:v>
      </x:c>
    </x:row>
    <x:row r="15">
      <x:c r="A15" t="str">
        <x:v>城乡居民</x:v>
      </x:c>
      <x:c r="B15" s="14" t="n">
        <x:f>E6</x:f>
        <x:v>191.55735077258444</x:v>
      </x:c>
      <x:c r="C15" s="14" t="n">
        <x:f>E9</x:f>
        <x:v>240.8871390117051</x:v>
      </x:c>
      <x:c r="D15" s="18" t="n">
        <x:f>IFERROR(C15/B15-1,"")</x:f>
        <x:v>0.25751968295742733</x:v>
      </x:c>
      <x:c r="E15" s="18" t="n">
        <x:f>IFERROR(D9/D6-1,"")</x:f>
        <x:v>0.3238907929792618</x:v>
      </x:c>
      <x:c r="F15" s="18" t="n">
        <x:f>IFERROR(C9/C6-1,"")</x:f>
        <x:v>0.05277938065012511</x:v>
      </x:c>
      <x:c r="G15" s="18" t="n">
        <x:f>H6</x:f>
        <x:v>0.12412531849561634</x:v>
      </x:c>
      <x:c r="H15" s="18" t="n">
        <x:f>H9</x:f>
        <x:v>0.14731367892115876</x:v>
      </x:c>
    </x:row>
    <x:row r="17" ht="35" customHeight="1">
      <x:c r="A17" s="73" t="str">
        <x:v>注意：E列是年度发放总额 ÷ 年末领取人数 ÷ 12的近似值；若有退休增减员、补发、死亡停止待遇，不能解释为严格月度人均或官方同比调整水平。</x:v>
      </x:c>
      <x:c r="B17" s="73"/>
      <x:c r="C17" s="73"/>
      <x:c r="D17" s="73"/>
      <x:c r="E17" s="73"/>
      <x:c r="F17" s="73"/>
      <x:c r="G17" s="73"/>
      <x:c r="H17" s="73"/>
      <x:c r="I17" s="73"/>
      <x:c r="J17" s="73"/>
      <x:c r="K17" s="73"/>
      <x:c r="L17" s="73"/>
      <x:c r="M17" s="73"/>
      <x:c r="N17" s="73"/>
      <x:c r="O17" s="73"/>
    </x:row>
  </x:sheetData>
  <x:mergeCells>
    <x:mergeCell ref="A1:O1"/>
    <x:mergeCell ref="A17:O17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43" hidden="0" customWidth="1"/>
    <x:col min="4" max="4" width="16" hidden="0" customWidth="1"/>
    <x:col min="5" max="5" width="12" hidden="0" customWidth="1"/>
    <x:col min="6" max="6" width="67" hidden="0" customWidth="1"/>
    <x:col min="7" max="7" width="69" hidden="0" customWidth="1"/>
  </x:cols>
  <x:sheetData>
    <x:row r="1" ht="34" customHeight="1">
      <x:c r="A1" s="62" t="str">
        <x:v>江西 · 2025年财政、社保基金及养老金的不同预算口径</x:v>
      </x:c>
      <x:c r="B1" s="62"/>
      <x:c r="C1" s="62"/>
      <x:c r="D1" s="62"/>
      <x:c r="E1" s="62"/>
      <x:c r="F1" s="62"/>
      <x:c r="G1" s="62"/>
    </x:row>
    <x:row r="3" ht="34" customHeight="1">
      <x:c r="A3" s="66" t="str">
        <x:v>行政范围</x:v>
      </x:c>
      <x:c r="B3" s="66" t="str">
        <x:v>期间与状态</x:v>
      </x:c>
      <x:c r="C3" s="66" t="str">
        <x:v>指标名称</x:v>
      </x:c>
      <x:c r="D3" s="66" t="str">
        <x:v>数值</x:v>
      </x:c>
      <x:c r="E3" s="66" t="str">
        <x:v>单位</x:v>
      </x:c>
      <x:c r="F3" s="66" t="str">
        <x:v>可核对来源URL</x:v>
      </x:c>
      <x:c r="G3" s="66" t="str">
        <x:v>财务/统计口径说明</x:v>
      </x:c>
    </x:row>
    <x:row r="4" ht="25" customHeight="1">
      <x:c r="A4" s="67" t="str">
        <x:v>江西全省</x:v>
      </x:c>
      <x:c r="B4" s="67" t="str">
        <x:v>2025执行</x:v>
      </x:c>
      <x:c r="C4" s="67" t="str">
        <x:v>社会保险基金预算收入</x:v>
      </x:c>
      <x:c r="D4" s="68" t="n">
        <x:v>2735.8</x:v>
      </x:c>
      <x:c r="E4" s="67" t="str">
        <x:v>亿元</x:v>
      </x:c>
      <x:c r="F4" s="67" t="str">
        <x:v>https://jiangxi.jxnews.com.cn/system/2026/02/09/031051192.shtml</x:v>
      </x:c>
      <x:c r="G4" s="67" t="str">
        <x:v>含不同社会保险险种；不是养老保险单项</x:v>
      </x:c>
    </x:row>
    <x:row r="5" ht="25" customHeight="1">
      <x:c r="A5" s="67" t="str">
        <x:v>江西全省</x:v>
      </x:c>
      <x:c r="B5" s="67" t="str">
        <x:v>2025执行</x:v>
      </x:c>
      <x:c r="C5" s="67" t="str">
        <x:v>社会保险基金预算支出</x:v>
      </x:c>
      <x:c r="D5" s="68" t="n">
        <x:v>2603</x:v>
      </x:c>
      <x:c r="E5" s="67" t="str">
        <x:v>亿元</x:v>
      </x:c>
      <x:c r="F5" s="67" t="str">
        <x:v>https://jiangxi.jxnews.com.cn/system/2026/02/09/031051192.shtml</x:v>
      </x:c>
      <x:c r="G5" s="67" t="str">
        <x:v>含不同社会保险险种；不是三类养老金发放之和</x:v>
      </x:c>
    </x:row>
    <x:row r="6" ht="25" customHeight="1">
      <x:c r="A6" s="67" t="str">
        <x:v>江西全省</x:v>
      </x:c>
      <x:c r="B6" s="67" t="str">
        <x:v>2025执行</x:v>
      </x:c>
      <x:c r="C6" s="67" t="str">
        <x:v>社会保险基金本年结余</x:v>
      </x:c>
      <x:c r="D6" s="68" t="n">
        <x:v>132.8</x:v>
      </x:c>
      <x:c r="E6" s="67" t="str">
        <x:v>亿元</x:v>
      </x:c>
      <x:c r="F6" s="67" t="str">
        <x:v>https://jiangxi.jxnews.com.cn/system/2026/02/09/031051192.shtml</x:v>
      </x:c>
      <x:c r="G6" s="67" t="str">
        <x:v>是社保基金预算收支差额；非一般公共预算盈余</x:v>
      </x:c>
    </x:row>
    <x:row r="7" ht="25" customHeight="1">
      <x:c r="A7" s="67" t="str">
        <x:v>江西全省</x:v>
      </x:c>
      <x:c r="B7" s="67" t="str">
        <x:v>2025执行</x:v>
      </x:c>
      <x:c r="C7" s="67" t="str">
        <x:v>社会保险基金年末滚存结余</x:v>
      </x:c>
      <x:c r="D7" s="68" t="n">
        <x:v>2610</x:v>
      </x:c>
      <x:c r="E7" s="67" t="str">
        <x:v>亿元</x:v>
      </x:c>
      <x:c r="F7" s="67" t="str">
        <x:v>https://jiangxi.jxnews.com.cn/system/2026/02/09/031051192.shtml</x:v>
      </x:c>
      <x:c r="G7" s="67" t="str">
        <x:v>是各险种汇总滚存，不代表养老金专项可动用余额</x:v>
      </x:c>
    </x:row>
    <x:row r="8" ht="25" customHeight="1">
      <x:c r="A8" s="67" t="str">
        <x:v>江西省级</x:v>
      </x:c>
      <x:c r="B8" s="67" t="str">
        <x:v>2025决算</x:v>
      </x:c>
      <x:c r="C8" s="67" t="str">
        <x:v>社会保险基金预算收入</x:v>
      </x:c>
      <x:c r="D8" s="68" t="n">
        <x:v>1398.9</x:v>
      </x:c>
      <x:c r="E8" s="67" t="str">
        <x:v>亿元</x:v>
      </x:c>
      <x:c r="F8" s="67" t="str">
        <x:v>https://jxrd.jxnews.com.cn/system/2026/08/11/031215391.shtml</x:v>
      </x:c>
      <x:c r="G8" s="67" t="str">
        <x:v>省级决算范围；不能与全省统计直接加总</x:v>
      </x:c>
    </x:row>
    <x:row r="9" ht="25" customHeight="1">
      <x:c r="A9" s="67" t="str">
        <x:v>江西省级</x:v>
      </x:c>
      <x:c r="B9" s="67" t="str">
        <x:v>2025决算</x:v>
      </x:c>
      <x:c r="C9" s="67" t="str">
        <x:v>社会保险基金预算支出</x:v>
      </x:c>
      <x:c r="D9" s="68" t="n">
        <x:v>1372.9</x:v>
      </x:c>
      <x:c r="E9" s="67" t="str">
        <x:v>亿元</x:v>
      </x:c>
      <x:c r="F9" s="67" t="str">
        <x:v>https://jxrd.jxnews.com.cn/system/2026/08/11/031215391.shtml</x:v>
      </x:c>
      <x:c r="G9" s="67" t="str">
        <x:v>省级决算范围；不能与全省统计直接加总</x:v>
      </x:c>
    </x:row>
    <x:row r="10" ht="25" customHeight="1">
      <x:c r="A10" s="67" t="str">
        <x:v>江西全省</x:v>
      </x:c>
      <x:c r="B10" s="67" t="str">
        <x:v>2026年初预算</x:v>
      </x:c>
      <x:c r="C10" s="67" t="str">
        <x:v>社会保险基金预算收入</x:v>
      </x:c>
      <x:c r="D10" s="68" t="n">
        <x:v>2802.1</x:v>
      </x:c>
      <x:c r="E10" s="67" t="str">
        <x:v>亿元</x:v>
      </x:c>
      <x:c r="F10" s="67" t="str">
        <x:v>https://jiangxi.jxnews.com.cn/system/2026/02/09/031051192.shtml</x:v>
      </x:c>
      <x:c r="G10" s="67" t="str">
        <x:v>2026预算非执行结果</x:v>
      </x:c>
    </x:row>
    <x:row r="11" ht="25" customHeight="1">
      <x:c r="A11" s="67" t="str">
        <x:v>江西全省</x:v>
      </x:c>
      <x:c r="B11" s="67" t="str">
        <x:v>2026年初预算</x:v>
      </x:c>
      <x:c r="C11" s="67" t="str">
        <x:v>社会保险基金预算支出</x:v>
      </x:c>
      <x:c r="D11" s="68" t="n">
        <x:v>2741.9</x:v>
      </x:c>
      <x:c r="E11" s="67" t="str">
        <x:v>亿元</x:v>
      </x:c>
      <x:c r="F11" s="67" t="str">
        <x:v>https://jiangxi.jxnews.com.cn/system/2026/02/09/031051192.shtml</x:v>
      </x:c>
      <x:c r="G11" s="67" t="str">
        <x:v>2026预算非2026实际</x:v>
      </x:c>
    </x:row>
    <x:row r="12" ht="25" customHeight="1">
      <x:c r="A12" s="67" t="str">
        <x:v>江西全省</x:v>
      </x:c>
      <x:c r="B12" s="67" t="str">
        <x:v>2025末</x:v>
      </x:c>
      <x:c r="C12" s="67" t="str">
        <x:v>城镇职工基本养老保险参保人数</x:v>
      </x:c>
      <x:c r="D12" s="68" t="n">
        <x:v>1517.8</x:v>
      </x:c>
      <x:c r="E12" s="67" t="str">
        <x:v>万人</x:v>
      </x:c>
      <x:c r="F12" s="67" t="str">
        <x:v>https://epaper.jxxw.com.cn/html/2026-03/27/content_7_88438.htm</x:v>
      </x:c>
      <x:c r="G12" s="67" t="str">
        <x:v>含在职和相关参保退休人员；并非全部在职或全部退休</x:v>
      </x:c>
    </x:row>
    <x:row r="13" ht="25" customHeight="1">
      <x:c r="A13" s="67" t="str">
        <x:v>江西全省</x:v>
      </x:c>
      <x:c r="B13" s="67" t="str">
        <x:v>2025末</x:v>
      </x:c>
      <x:c r="C13" s="67" t="str">
        <x:v>城乡居民养老保险参保人数</x:v>
      </x:c>
      <x:c r="D13" s="68" t="n">
        <x:v>1903</x:v>
      </x:c>
      <x:c r="E13" s="67" t="str">
        <x:v>万人</x:v>
      </x:c>
      <x:c r="F13" s="67" t="str">
        <x:v>https://epaper.jxxw.com.cn/html/2026-03/27/content_7_88438.htm</x:v>
      </x:c>
      <x:c r="G13" s="67" t="str">
        <x:v>参保不等于领取待遇</x:v>
      </x:c>
    </x:row>
    <x:row r="14" ht="25" customHeight="1">
      <x:c r="A14" s="67" t="str">
        <x:v>江西全省</x:v>
      </x:c>
      <x:c r="B14" s="67" t="str">
        <x:v>2025养老金调整</x:v>
      </x:c>
      <x:c r="C14" s="67" t="str">
        <x:v>企业和机关事业单位退休人员覆盖约</x:v>
      </x:c>
      <x:c r="D14" s="68" t="n">
        <x:v>420</x:v>
      </x:c>
      <x:c r="E14" s="67" t="str">
        <x:v>万人</x:v>
      </x:c>
      <x:c r="F14" s="67" t="str">
        <x:v>https://jx.mof.gov.cn/xxgk/tongzhitonggao/202507/t20250728_3968859.htm</x:v>
      </x:c>
      <x:c r="G14" s="67" t="str">
        <x:v>官方称约420万人受益，不等于三类待遇领取人数</x:v>
      </x:c>
    </x:row>
    <x:row r="15" ht="25" customHeight="1">
      <x:c r="A15" s="67" t="str">
        <x:v>峡江县</x:v>
      </x:c>
      <x:c r="B15" s="67" t="str">
        <x:v>2025</x:v>
      </x:c>
      <x:c r="C15" s="67" t="str">
        <x:v>三类养老金发放额合计</x:v>
      </x:c>
      <x:c r="D15" s="68" t="n">
        <x:v>53700.58</x:v>
      </x:c>
      <x:c r="E15" s="67" t="str">
        <x:v>万元</x:v>
      </x:c>
      <x:c r="F15" s="67" t="str">
        <x:v>https://tjgb.hongheiku.com/xjtjgb/xj2020/73609.html</x:v>
      </x:c>
      <x:c r="G15" s="67" t="str">
        <x:v>养老金不同险种支付；由三项金额加总</x:v>
      </x:c>
    </x:row>
    <x:row r="16" ht="25" customHeight="1">
      <x:c r="A16" s="67" t="str">
        <x:v>峡江县</x:v>
      </x:c>
      <x:c r="B16" s="67" t="str">
        <x:v>2025</x:v>
      </x:c>
      <x:c r="C16" s="67" t="str">
        <x:v>一般公共预算社会保障和就业支出</x:v>
      </x:c>
      <x:c r="D16" s="68" t="n">
        <x:v>42516</x:v>
      </x:c>
      <x:c r="E16" s="67" t="str">
        <x:v>万元</x:v>
      </x:c>
      <x:c r="F16" s="67" t="str">
        <x:v>https://tjgb.hongheiku.com/xjtjgb/xj2020/73609.html</x:v>
      </x:c>
      <x:c r="G16" s="67" t="str">
        <x:v>一般公共预算功能分类，绝不可当养老金发放额</x:v>
      </x:c>
    </x:row>
    <x:row r="17" ht="25" customHeight="1">
      <x:c r="A17" s="67" t="str">
        <x:v>吉安县</x:v>
      </x:c>
      <x:c r="B17" s="67" t="str">
        <x:v>2025</x:v>
      </x:c>
      <x:c r="C17" s="67" t="str">
        <x:v>三类养老金发放额合计</x:v>
      </x:c>
      <x:c r="D17" s="68" t="n">
        <x:v>113500</x:v>
      </x:c>
      <x:c r="E17" s="67" t="str">
        <x:v>万元</x:v>
      </x:c>
      <x:c r="F17" s="67" t="str">
        <x:v>https://maptable.com/tjgb/2025/吉安市/吉安县/report/ji-an-shi-ji-an-xian-2025-nian-guo-min-jing-ji-he-she-hui-fa-zhan-tong-ji-gong-bao</x:v>
      </x:c>
      <x:c r="G17" s="67" t="str">
        <x:v>养老金支付加总</x:v>
      </x:c>
    </x:row>
    <x:row r="18" ht="25" customHeight="1">
      <x:c r="A18" s="67" t="str">
        <x:v>吉安县</x:v>
      </x:c>
      <x:c r="B18" s="67" t="str">
        <x:v>2025</x:v>
      </x:c>
      <x:c r="C18" s="67" t="str">
        <x:v>一般公共预算社会保障和就业支出</x:v>
      </x:c>
      <x:c r="D18" s="68" t="n">
        <x:v>78400</x:v>
      </x:c>
      <x:c r="E18" s="67" t="str">
        <x:v>万元</x:v>
      </x:c>
      <x:c r="F18" s="67" t="str">
        <x:v>https://maptable.com/tjgb/2025/吉安市/吉安县/report/ji-an-shi-ji-an-xian-2025-nian-guo-min-jing-ji-he-she-hui-fa-zhan-tong-ji-gong-bao</x:v>
      </x:c>
      <x:c r="G18" s="67" t="str">
        <x:v>一般公共预算支出，不是社保基金支出</x:v>
      </x:c>
    </x:row>
    <x:row r="19" ht="25" customHeight="1">
      <x:c r="A19" s="67" t="str">
        <x:v>江西全省</x:v>
      </x:c>
      <x:c r="B19" s="67" t="str">
        <x:v>2025</x:v>
      </x:c>
      <x:c r="C19" s="67" t="str">
        <x:v>公积金缴存金额</x:v>
      </x:c>
      <x:c r="D19" s="68" t="n">
        <x:v>728.52</x:v>
      </x:c>
      <x:c r="E19" s="67" t="str">
        <x:v>亿元</x:v>
      </x:c>
      <x:c r="F19" s="67" t="str">
        <x:v>https://jx.ifeng.com/c/8sk35lBJNwe</x:v>
      </x:c>
      <x:c r="G19" s="67" t="str">
        <x:v>是住房公积金制度归集，不是养老资金</x:v>
      </x:c>
    </x:row>
    <x:row r="20" ht="25" customHeight="1">
      <x:c r="A20" s="67" t="str">
        <x:v>江西全省</x:v>
      </x:c>
      <x:c r="B20" s="67" t="str">
        <x:v>2025</x:v>
      </x:c>
      <x:c r="C20" s="67" t="str">
        <x:v>公积金提取金额</x:v>
      </x:c>
      <x:c r="D20" s="68" t="n">
        <x:v>503.42</x:v>
      </x:c>
      <x:c r="E20" s="67" t="str">
        <x:v>亿元</x:v>
      </x:c>
      <x:c r="F20" s="67" t="str">
        <x:v>https://jx.ifeng.com/c/8sk35lBJNwe</x:v>
      </x:c>
      <x:c r="G20" s="67" t="str">
        <x:v>包括退休提取但不同于基本养老金</x:v>
      </x:c>
    </x:row>
    <x:row r="21" ht="25" customHeight="1">
      <x:c r="A21" s="67" t="str">
        <x:v>江西全省</x:v>
      </x:c>
      <x:c r="B21" s="67" t="str">
        <x:v>2025</x:v>
      </x:c>
      <x:c r="C21" s="67" t="str">
        <x:v>公积金提取中退休比例</x:v>
      </x:c>
      <x:c r="D21" s="68" t="n">
        <x:v>19.74</x:v>
      </x:c>
      <x:c r="E21" s="67" t="str">
        <x:v>%</x:v>
      </x:c>
      <x:c r="F21" s="67" t="str">
        <x:v>https://jx.ifeng.com/c/8sk35lBJNwe</x:v>
      </x:c>
      <x:c r="G21" s="67" t="str">
        <x:v>退休提取是公积金账户余额提取而非养老金支出</x:v>
      </x:c>
    </x:row>
    <x:row r="23" ht="44" customHeight="1">
      <x:c r="A23" s="75" t="str">
        <x:v>重要：三类养老金发放额可以大于一个县一般公共预算“社会保障和就业支出”。这是由于社保基金预算与一般公共预算是不同预算体系，不能用两项相减定义资金缺口。</x:v>
      </x:c>
      <x:c r="B23" s="75"/>
      <x:c r="C23" s="75"/>
      <x:c r="D23" s="75"/>
      <x:c r="E23" s="75"/>
      <x:c r="F23" s="75"/>
      <x:c r="G23" s="75"/>
    </x:row>
    <x:row r="25" ht="28" customHeight="1">
      <x:c r="A25" s="64" t="str">
        <x:v>县区</x:v>
      </x:c>
      <x:c r="B25" s="64" t="str">
        <x:v>养老金发放合计_万元</x:v>
      </x:c>
      <x:c r="C25" s="64" t="str">
        <x:v>一般预算社保就业_万元</x:v>
      </x:c>
      <x:c r="D25" s="64" t="str">
        <x:v>发放/功能支出</x:v>
      </x:c>
      <x:c r="E25" s="64" t="str">
        <x:v>计算含义</x:v>
      </x:c>
      <x:c r="F25" s="64" t="str">
        <x:v>2025来源</x:v>
      </x:c>
      <x:c r="G25" s="64" t="str">
        <x:v>结论有效范围</x:v>
      </x:c>
    </x:row>
    <x:row r="26">
      <x:c r="A26" t="str">
        <x:v>峡江县</x:v>
      </x:c>
      <x:c r="B26" t="n">
        <x:v>53700.58</x:v>
      </x:c>
      <x:c r="C26" t="n">
        <x:v>42516</x:v>
      </x:c>
      <x:c r="D26" s="76" t="n">
        <x:f>IFERROR(B26/C26,"")</x:f>
        <x:v>1.2630675510396085</x:v>
      </x:c>
      <x:c r="E26" t="str">
        <x:v>不是预算缺口</x:v>
      </x:c>
      <x:c r="F26" t="str">
        <x:v>https://tjgb.hongheiku.com/xjtjgb/xj2020/73609.html</x:v>
      </x:c>
      <x:c r="G26" t="str">
        <x:v>证明不同预算口径不适合直接比较</x:v>
      </x:c>
    </x:row>
    <x:row r="27">
      <x:c r="A27" t="str">
        <x:v>吉安县</x:v>
      </x:c>
      <x:c r="B27" t="n">
        <x:v>113500</x:v>
      </x:c>
      <x:c r="C27" t="n">
        <x:v>78400</x:v>
      </x:c>
      <x:c r="D27" s="76" t="n">
        <x:f>IFERROR(B27/C27,"")</x:f>
        <x:v>1.447704081632653</x:v>
      </x:c>
      <x:c r="E27" t="str">
        <x:v>不是预算缺口</x:v>
      </x:c>
      <x:c r="F27" t="str">
        <x:v>https://maptable.com/tjgb/2025/吉安市/吉安县/report/ji-an-shi-ji-an-xian-2025-nian-guo-min-jing-ji-he-she-hui-fa-zhan-tong-ji-gong-bao</x:v>
      </x:c>
      <x:c r="G27" t="str">
        <x:v>证明不同预算口径不适合直接比较</x:v>
      </x:c>
    </x:row>
  </x:sheetData>
  <x:mergeCells>
    <x:mergeCell ref="A1:G1"/>
    <x:mergeCell ref="A23:G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7" hidden="0" customWidth="1"/>
    <x:col min="2" max="2" width="18" hidden="0" customWidth="1"/>
    <x:col min="3" max="3" width="17" hidden="0" customWidth="1"/>
    <x:col min="4" max="4" width="22" hidden="0" customWidth="1"/>
    <x:col min="5" max="5" width="17" hidden="0" customWidth="1"/>
    <x:col min="6" max="6" width="15" hidden="0" customWidth="1"/>
    <x:col min="7" max="7" width="18" hidden="0" customWidth="1"/>
    <x:col min="8" max="8" width="16" hidden="0" customWidth="1"/>
    <x:col min="9" max="9" width="20" hidden="0" customWidth="1"/>
    <x:col min="10" max="10" width="18" hidden="0" customWidth="1"/>
    <x:col min="11" max="11" width="54" hidden="0" customWidth="1"/>
    <x:col min="12" max="12" width="59" hidden="0" customWidth="1"/>
  </x:cols>
  <x:sheetData>
    <x:row r="1" ht="34" customHeight="1">
      <x:c r="A1" s="62" t="str">
        <x:v>江西省住房公积金 · 11个地级市缴存与使用差异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</x:row>
    <x:row r="3" ht="34" customHeight="1">
      <x:c r="A3" s="66" t="str">
        <x:v>城市</x:v>
      </x:c>
      <x:c r="B3" s="66" t="str">
        <x:v>实缴人数_万人</x:v>
      </x:c>
      <x:c r="C3" s="66" t="str">
        <x:v>年度缴存_亿元</x:v>
      </x:c>
      <x:c r="D3" s="66" t="str">
        <x:v>每名实缴月均缴存_元</x:v>
      </x:c>
      <x:c r="E3" s="66" t="str">
        <x:v>提取额_亿元</x:v>
      </x:c>
      <x:c r="F3" s="66" t="str">
        <x:v>提取率_%</x:v>
      </x:c>
      <x:c r="G3" s="66" t="str">
        <x:v>贷款余额_亿元</x:v>
      </x:c>
      <x:c r="H3" s="66" t="str">
        <x:v>个贷率_%</x:v>
      </x:c>
      <x:c r="I3" s="66" t="str">
        <x:v>相对省均缴存强度</x:v>
      </x:c>
      <x:c r="J3" s="66" t="str">
        <x:v>强度省内排名</x:v>
      </x:c>
      <x:c r="K3" s="66" t="str">
        <x:v>来源URL</x:v>
      </x:c>
      <x:c r="L3" s="66" t="str">
        <x:v>分析口径</x:v>
      </x:c>
    </x:row>
    <x:row r="4" ht="25" customHeight="1">
      <x:c r="A4" s="67" t="str">
        <x:v>南昌市</x:v>
      </x:c>
      <x:c r="B4" s="67" t="n">
        <x:v>102.05</x:v>
      </x:c>
      <x:c r="C4" s="67" t="n">
        <x:v>240.17</x:v>
      </x:c>
      <x:c r="D4" s="77" t="n">
        <x:f>IFERROR(C4*100000000/(B4*10000*12),"")</x:f>
        <x:v>1961.211824269149</x:v>
      </x:c>
      <x:c r="E4" s="67" t="n">
        <x:v>168.23</x:v>
      </x:c>
      <x:c r="F4" s="67" t="n">
        <x:v>70.05</x:v>
      </x:c>
      <x:c r="G4" s="67" t="n">
        <x:v>545.7</x:v>
      </x:c>
      <x:c r="H4" s="67" t="n">
        <x:v>68.46</x:v>
      </x:c>
      <x:c r="I4" s="78" t="n">
        <x:f>IFERROR(D4/(728.52*100000000/(353.77*10000*12)),"")</x:f>
        <x:v>1.142839576794098</x:v>
      </x:c>
      <x:c r="J4" s="67" t="n">
        <x:f>RANK(D4,$D$4:$D$14,0)</x:f>
        <x:v>1</x:v>
      </x:c>
      <x:c r="K4" s="67" t="str">
        <x:v>https://jx.ifeng.com/c/8sk35lBJNwe</x:v>
      </x:c>
      <x:c r="L4" s="67" t="str">
        <x:v>D=全年缴存额/年实缴人数/12；实际缴存人变动，不直接等于工资。</x:v>
      </x:c>
    </x:row>
    <x:row r="5" ht="25" customHeight="1">
      <x:c r="A5" s="67" t="str">
        <x:v>景德镇市</x:v>
      </x:c>
      <x:c r="B5" s="67" t="n">
        <x:v>12.98</x:v>
      </x:c>
      <x:c r="C5" s="67" t="n">
        <x:v>26.58</x:v>
      </x:c>
      <x:c r="D5" s="77" t="n">
        <x:f>IFERROR(C5*100000000/(B5*10000*12),"")</x:f>
        <x:v>1706.4714946070878</x:v>
      </x:c>
      <x:c r="E5" s="67" t="n">
        <x:v>18.52</x:v>
      </x:c>
      <x:c r="F5" s="67" t="n">
        <x:v>69.69</x:v>
      </x:c>
      <x:c r="G5" s="67" t="n">
        <x:v>61.85</x:v>
      </x:c>
      <x:c r="H5" s="67" t="n">
        <x:v>63.42</x:v>
      </x:c>
      <x:c r="I5" s="78" t="n">
        <x:f>IFERROR(D5/(728.52*100000000/(353.77*10000*12)),"")</x:f>
        <x:v>0.9943970032072962</x:v>
      </x:c>
      <x:c r="J5" s="67" t="n">
        <x:f>RANK(D5,$D$4:$D$14,0)</x:f>
        <x:v>6</x:v>
      </x:c>
      <x:c r="K5" s="67" t="str">
        <x:v>https://jx.ifeng.com/c/8sk35lBJNwe</x:v>
      </x:c>
      <x:c r="L5" s="67" t="str">
        <x:v>D=全年缴存额/年实缴人数/12；实际缴存人变动，不直接等于工资。</x:v>
      </x:c>
    </x:row>
    <x:row r="6" ht="25" customHeight="1">
      <x:c r="A6" s="67" t="str">
        <x:v>萍乡市</x:v>
      </x:c>
      <x:c r="B6" s="67" t="n">
        <x:v>12.62</x:v>
      </x:c>
      <x:c r="C6" s="67" t="n">
        <x:v>26.26</x:v>
      </x:c>
      <x:c r="D6" s="77" t="n">
        <x:f>IFERROR(C6*100000000/(B6*10000*12),"")</x:f>
        <x:v>1734.0200739566828</x:v>
      </x:c>
      <x:c r="E6" s="67" t="n">
        <x:v>21.14</x:v>
      </x:c>
      <x:c r="F6" s="67" t="n">
        <x:v>80.48</x:v>
      </x:c>
      <x:c r="G6" s="67" t="n">
        <x:v>63.76</x:v>
      </x:c>
      <x:c r="H6" s="67" t="n">
        <x:v>60.95</x:v>
      </x:c>
      <x:c r="I6" s="78" t="n">
        <x:f>IFERROR(D6/(728.52*100000000/(353.77*10000*12)),"")</x:f>
        <x:v>1.010450142585498</x:v>
      </x:c>
      <x:c r="J6" s="67" t="n">
        <x:f>RANK(D6,$D$4:$D$14,0)</x:f>
        <x:v>5</x:v>
      </x:c>
      <x:c r="K6" s="67" t="str">
        <x:v>https://jx.ifeng.com/c/8sk35lBJNwe</x:v>
      </x:c>
      <x:c r="L6" s="67" t="str">
        <x:v>D=全年缴存额/年实缴人数/12；实际缴存人变动，不直接等于工资。</x:v>
      </x:c>
    </x:row>
    <x:row r="7" ht="25" customHeight="1">
      <x:c r="A7" s="67" t="str">
        <x:v>九江市</x:v>
      </x:c>
      <x:c r="B7" s="67" t="n">
        <x:v>33.66</x:v>
      </x:c>
      <x:c r="C7" s="67" t="n">
        <x:v>66</x:v>
      </x:c>
      <x:c r="D7" s="77" t="n">
        <x:f>IFERROR(C7*100000000/(B7*10000*12),"")</x:f>
        <x:v>1633.9869281045756</x:v>
      </x:c>
      <x:c r="E7" s="67" t="n">
        <x:v>47.18</x:v>
      </x:c>
      <x:c r="F7" s="67" t="n">
        <x:v>71.48</x:v>
      </x:c>
      <x:c r="G7" s="67" t="n">
        <x:v>144.51</x:v>
      </x:c>
      <x:c r="H7" s="67" t="n">
        <x:v>68.75</x:v>
      </x:c>
      <x:c r="I7" s="78" t="n">
        <x:f>IFERROR(D7/(728.52*100000000/(353.77*10000*12)),"")</x:f>
        <x:v>0.9521587144713486</x:v>
      </x:c>
      <x:c r="J7" s="67" t="n">
        <x:f>RANK(D7,$D$4:$D$14,0)</x:f>
        <x:v>7</x:v>
      </x:c>
      <x:c r="K7" s="67" t="str">
        <x:v>https://jx.ifeng.com/c/8sk35lBJNwe</x:v>
      </x:c>
      <x:c r="L7" s="67" t="str">
        <x:v>D=全年缴存额/年实缴人数/12；实际缴存人变动，不直接等于工资。</x:v>
      </x:c>
    </x:row>
    <x:row r="8" ht="25" customHeight="1">
      <x:c r="A8" s="67" t="str">
        <x:v>新余市</x:v>
      </x:c>
      <x:c r="B8" s="67" t="n">
        <x:v>10.87</x:v>
      </x:c>
      <x:c r="C8" s="67" t="n">
        <x:v>24.92</x:v>
      </x:c>
      <x:c r="D8" s="77" t="n">
        <x:f>IFERROR(C8*100000000/(B8*10000*12),"")</x:f>
        <x:v>1910.4569150567313</x:v>
      </x:c>
      <x:c r="E8" s="67" t="n">
        <x:v>15.55</x:v>
      </x:c>
      <x:c r="F8" s="67" t="n">
        <x:v>62.41</x:v>
      </x:c>
      <x:c r="G8" s="67" t="n">
        <x:v>41.53</x:v>
      </x:c>
      <x:c r="H8" s="67" t="n">
        <x:v>44.09</x:v>
      </x:c>
      <x:c r="I8" s="78" t="n">
        <x:f>IFERROR(D8/(728.52*100000000/(353.77*10000*12)),"")</x:f>
        <x:v>1.1132636185795088</x:v>
      </x:c>
      <x:c r="J8" s="67" t="n">
        <x:f>RANK(D8,$D$4:$D$14,0)</x:f>
        <x:v>2</x:v>
      </x:c>
      <x:c r="K8" s="67" t="str">
        <x:v>https://jx.ifeng.com/c/8sk35lBJNwe</x:v>
      </x:c>
      <x:c r="L8" s="67" t="str">
        <x:v>D=全年缴存额/年实缴人数/12；实际缴存人变动，不直接等于工资。</x:v>
      </x:c>
    </x:row>
    <x:row r="9" ht="25" customHeight="1">
      <x:c r="A9" s="67" t="str">
        <x:v>鹰潭市</x:v>
      </x:c>
      <x:c r="B9" s="67" t="n">
        <x:v>8.09</x:v>
      </x:c>
      <x:c r="C9" s="67" t="n">
        <x:v>17.57</x:v>
      </x:c>
      <x:c r="D9" s="77" t="n">
        <x:f>IFERROR(C9*100000000/(B9*10000*12),"")</x:f>
        <x:v>1809.8475484136795</x:v>
      </x:c>
      <x:c r="E9" s="67" t="n">
        <x:v>12.48</x:v>
      </x:c>
      <x:c r="F9" s="67" t="n">
        <x:v>71.05</x:v>
      </x:c>
      <x:c r="G9" s="67" t="n">
        <x:v>38.26</x:v>
      </x:c>
      <x:c r="H9" s="67" t="n">
        <x:v>58.69</x:v>
      </x:c>
      <x:c r="I9" s="78" t="n">
        <x:f>IFERROR(D9/(728.52*100000000/(353.77*10000*12)),"")</x:f>
        <x:v>1.0546364144330547</x:v>
      </x:c>
      <x:c r="J9" s="67" t="n">
        <x:f>RANK(D9,$D$4:$D$14,0)</x:f>
        <x:v>4</x:v>
      </x:c>
      <x:c r="K9" s="67" t="str">
        <x:v>https://jx.ifeng.com/c/8sk35lBJNwe</x:v>
      </x:c>
      <x:c r="L9" s="67" t="str">
        <x:v>D=全年缴存额/年实缴人数/12；实际缴存人变动，不直接等于工资。</x:v>
      </x:c>
    </x:row>
    <x:row r="10" ht="25" customHeight="1">
      <x:c r="A10" s="67" t="str">
        <x:v>赣州市</x:v>
      </x:c>
      <x:c r="B10" s="67" t="n">
        <x:v>60.66</x:v>
      </x:c>
      <x:c r="C10" s="67" t="n">
        <x:v>105.68</x:v>
      </x:c>
      <x:c r="D10" s="77" t="n">
        <x:f>IFERROR(C10*100000000/(B10*10000*12),"")</x:f>
        <x:v>1451.8078909770304</x:v>
      </x:c>
      <x:c r="E10" s="67" t="n">
        <x:v>75.09</x:v>
      </x:c>
      <x:c r="F10" s="67" t="n">
        <x:v>71.05</x:v>
      </x:c>
      <x:c r="G10" s="67" t="n">
        <x:v>328.95</x:v>
      </x:c>
      <x:c r="H10" s="67" t="n">
        <x:v>87.2</x:v>
      </x:c>
      <x:c r="I10" s="78" t="n">
        <x:f>IFERROR(D10/(728.52*100000000/(353.77*10000*12)),"")</x:f>
        <x:v>0.8459991395008138</x:v>
      </x:c>
      <x:c r="J10" s="67" t="n">
        <x:f>RANK(D10,$D$4:$D$14,0)</x:f>
        <x:v>11</x:v>
      </x:c>
      <x:c r="K10" s="67" t="str">
        <x:v>https://jx.ifeng.com/c/8sk35lBJNwe</x:v>
      </x:c>
      <x:c r="L10" s="67" t="str">
        <x:v>D=全年缴存额/年实缴人数/12；实际缴存人变动，不直接等于工资。</x:v>
      </x:c>
    </x:row>
    <x:row r="11" ht="25" customHeight="1">
      <x:c r="A11" s="67" t="str">
        <x:v>吉安市</x:v>
      </x:c>
      <x:c r="B11" s="67" t="n">
        <x:v>29.29</x:v>
      </x:c>
      <x:c r="C11" s="67" t="n">
        <x:v>55.28</x:v>
      </x:c>
      <x:c r="D11" s="77" t="n">
        <x:f>IFERROR(C11*100000000/(B11*10000*12),"")</x:f>
        <x:v>1572.7779674519177</x:v>
      </x:c>
      <x:c r="E11" s="67" t="n">
        <x:v>38.12</x:v>
      </x:c>
      <x:c r="F11" s="67" t="n">
        <x:v>68.97</x:v>
      </x:c>
      <x:c r="G11" s="67" t="n">
        <x:v>159.41</x:v>
      </x:c>
      <x:c r="H11" s="67" t="n">
        <x:v>74.74</x:v>
      </x:c>
      <x:c r="I11" s="78" t="n">
        <x:f>IFERROR(D11/(728.52*100000000/(353.77*10000*12)),"")</x:f>
        <x:v>0.9164909595543814</x:v>
      </x:c>
      <x:c r="J11" s="67" t="n">
        <x:f>RANK(D11,$D$4:$D$14,0)</x:f>
        <x:v>9</x:v>
      </x:c>
      <x:c r="K11" s="67" t="str">
        <x:v>https://jx.ifeng.com/c/8sk35lBJNwe</x:v>
      </x:c>
      <x:c r="L11" s="67" t="str">
        <x:v>D=全年缴存额/年实缴人数/12；实际缴存人变动，不直接等于工资。</x:v>
      </x:c>
    </x:row>
    <x:row r="12" ht="25" customHeight="1">
      <x:c r="A12" s="67" t="str">
        <x:v>宜春市</x:v>
      </x:c>
      <x:c r="B12" s="67" t="n">
        <x:v>31.49</x:v>
      </x:c>
      <x:c r="C12" s="67" t="n">
        <x:v>56.66</x:v>
      </x:c>
      <x:c r="D12" s="77" t="n">
        <x:f>IFERROR(C12*100000000/(B12*10000*12),"")</x:f>
        <x:v>1499.417804594051</x:v>
      </x:c>
      <x:c r="E12" s="67" t="n">
        <x:v>38.57</x:v>
      </x:c>
      <x:c r="F12" s="67" t="n">
        <x:v>68.08</x:v>
      </x:c>
      <x:c r="G12" s="67" t="n">
        <x:v>121.53</x:v>
      </x:c>
      <x:c r="H12" s="67" t="n">
        <x:v>62.1</x:v>
      </x:c>
      <x:c r="I12" s="78" t="n">
        <x:f>IFERROR(D12/(728.52*100000000/(353.77*10000*12)),"")</x:f>
        <x:v>0.8737424423179665</x:v>
      </x:c>
      <x:c r="J12" s="67" t="n">
        <x:f>RANK(D12,$D$4:$D$14,0)</x:f>
        <x:v>10</x:v>
      </x:c>
      <x:c r="K12" s="67" t="str">
        <x:v>https://jx.ifeng.com/c/8sk35lBJNwe</x:v>
      </x:c>
      <x:c r="L12" s="67" t="str">
        <x:v>D=全年缴存额/年实缴人数/12；实际缴存人变动，不直接等于工资。</x:v>
      </x:c>
    </x:row>
    <x:row r="13" ht="25" customHeight="1">
      <x:c r="A13" s="67" t="str">
        <x:v>抚州市</x:v>
      </x:c>
      <x:c r="B13" s="67" t="n">
        <x:v>22.85</x:v>
      </x:c>
      <x:c r="C13" s="67" t="n">
        <x:v>43.35</x:v>
      </x:c>
      <x:c r="D13" s="77" t="n">
        <x:f>IFERROR(C13*100000000/(B13*10000*12),"")</x:f>
        <x:v>1580.9628008752736</x:v>
      </x:c>
      <x:c r="E13" s="67" t="n">
        <x:v>26.74</x:v>
      </x:c>
      <x:c r="F13" s="67" t="n">
        <x:v>61.68</x:v>
      </x:c>
      <x:c r="G13" s="67" t="n">
        <x:v>108.06</x:v>
      </x:c>
      <x:c r="H13" s="67" t="n">
        <x:v>63.96</x:v>
      </x:c>
      <x:c r="I13" s="78" t="n">
        <x:f>IFERROR(D13/(728.52*100000000/(353.77*10000*12)),"")</x:f>
        <x:v>0.9212604349623548</x:v>
      </x:c>
      <x:c r="J13" s="67" t="n">
        <x:f>RANK(D13,$D$4:$D$14,0)</x:f>
        <x:v>8</x:v>
      </x:c>
      <x:c r="K13" s="67" t="str">
        <x:v>https://jx.ifeng.com/c/8sk35lBJNwe</x:v>
      </x:c>
      <x:c r="L13" s="67" t="str">
        <x:v>D=全年缴存额/年实缴人数/12；实际缴存人变动，不直接等于工资。</x:v>
      </x:c>
    </x:row>
    <x:row r="14" ht="25" customHeight="1">
      <x:c r="A14" s="67" t="str">
        <x:v>上饶市</x:v>
      </x:c>
      <x:c r="B14" s="67" t="n">
        <x:v>29.21</x:v>
      </x:c>
      <x:c r="C14" s="67" t="n">
        <x:v>66.05</x:v>
      </x:c>
      <x:c r="D14" s="77" t="n">
        <x:f>IFERROR(C14*100000000/(B14*10000*12),"")</x:f>
        <x:v>1884.343261440146</x:v>
      </x:c>
      <x:c r="E14" s="67" t="n">
        <x:v>41.8</x:v>
      </x:c>
      <x:c r="F14" s="67" t="n">
        <x:v>63.28</x:v>
      </x:c>
      <x:c r="G14" s="67" t="n">
        <x:v>178.93</x:v>
      </x:c>
      <x:c r="H14" s="67" t="n">
        <x:v>66.24</x:v>
      </x:c>
      <x:c r="I14" s="78" t="n">
        <x:f>IFERROR(D14/(728.52*100000000/(353.77*10000*12)),"")</x:f>
        <x:v>1.0980466407505856</x:v>
      </x:c>
      <x:c r="J14" s="67" t="n">
        <x:f>RANK(D14,$D$4:$D$14,0)</x:f>
        <x:v>3</x:v>
      </x:c>
      <x:c r="K14" s="67" t="str">
        <x:v>https://jx.ifeng.com/c/8sk35lBJNwe</x:v>
      </x:c>
      <x:c r="L14" s="67" t="str">
        <x:v>D=全年缴存额/年实缴人数/12；实际缴存人变动，不直接等于工资。</x:v>
      </x:c>
    </x:row>
    <x:row r="17">
      <x:c r="A17" s="64" t="str">
        <x:v>全省住房公积金缴存人组成</x:v>
      </x:c>
      <x:c r="B17" s="64" t="str">
        <x:v>总缴存人占比</x:v>
      </x:c>
      <x:c r="C17" s="64" t="str">
        <x:v>新开户缴存人占比</x:v>
      </x:c>
      <x:c r="D17" s="64" t="str">
        <x:v>根据2025报告</x:v>
      </x:c>
      <x:c r="E17" s="64" t="str">
        <x:v>来源网址</x:v>
      </x:c>
      <x:c r="F17" s="64" t="str">
        <x:v>解释</x:v>
      </x:c>
    </x:row>
    <x:row r="18">
      <x:c r="A18" t="str">
        <x:v>企业单位</x:v>
      </x:c>
      <x:c r="B18" s="18" t="n">
        <x:v>0.5083</x:v>
      </x:c>
      <x:c r="C18" s="18" t="n">
        <x:v>0.6982</x:v>
      </x:c>
      <x:c r="D18" t="str">
        <x:v>2025年</x:v>
      </x:c>
      <x:c r="E18" t="str">
        <x:v>https://jx.ifeng.com/c/8sk35lBJNwe</x:v>
      </x:c>
      <x:c r="F18" t="str">
        <x:v>与机关事业单位分类不完全一致</x:v>
      </x:c>
    </x:row>
    <x:row r="19">
      <x:c r="A19" t="str">
        <x:v>非企业单位</x:v>
      </x:c>
      <x:c r="B19" s="18" t="n">
        <x:v>0.4799</x:v>
      </x:c>
      <x:c r="C19" s="18" t="n">
        <x:v>0.2337</x:v>
      </x:c>
      <x:c r="D19" t="str">
        <x:v>2025年</x:v>
      </x:c>
      <x:c r="E19" t="str">
        <x:v>https://jx.ifeng.com/c/8sk35lBJNwe</x:v>
      </x:c>
      <x:c r="F19" t="str">
        <x:v>不能全部等同于公务员、教师或编制人员</x:v>
      </x:c>
    </x:row>
    <x:row r="20">
      <x:c r="A20" t="str">
        <x:v>灵活就业</x:v>
      </x:c>
      <x:c r="B20" s="18" t="n">
        <x:v>0.0118</x:v>
      </x:c>
      <x:c r="C20" s="18" t="n">
        <x:v>0.0681</x:v>
      </x:c>
      <x:c r="D20" t="str">
        <x:v>2025年</x:v>
      </x:c>
      <x:c r="E20" t="str">
        <x:v>https://jx.ifeng.com/c/8sk35lBJNwe</x:v>
      </x:c>
      <x:c r="F20" t="str">
        <x:v>结构与缴存人的劳动关系类别有关</x:v>
      </x:c>
    </x:row>
    <x:row r="23">
      <x:c r="A23" s="80" t="str">
        <x:v>退休提取测算</x:v>
      </x:c>
      <x:c r="B23" s="80" t="str">
        <x:v>2025全省提取额_亿元</x:v>
      </x:c>
      <x:c r="C23" s="80" t="str">
        <x:v>退休提取占比</x:v>
      </x:c>
      <x:c r="D23" s="80" t="str">
        <x:v>推算退休提取额_亿元</x:v>
      </x:c>
    </x:row>
    <x:row r="24">
      <x:c r="A24" t="str">
        <x:v>公积金账户提取</x:v>
      </x:c>
      <x:c r="B24" t="n">
        <x:v>503.42</x:v>
      </x:c>
      <x:c r="C24" s="18" t="n">
        <x:v>0.1974</x:v>
      </x:c>
      <x:c r="D24" s="81" t="n">
        <x:f>B24*C24</x:f>
        <x:v>99.375108</x:v>
      </x:c>
    </x:row>
    <x:row r="26" ht="36" customHeight="1">
      <x:c r="A26" s="75" t="str">
        <x:v>不能以公积金实缴人数/城镇职工养老参保人数直接称作“公积金覆盖率”，因为养老参保包含退休人员、灵活就业及历史权益人员等，分母不一致。</x:v>
      </x:c>
      <x:c r="B26" s="75"/>
      <x:c r="C26" s="75"/>
      <x:c r="D26" s="75"/>
      <x:c r="E26" s="75"/>
      <x:c r="F26" s="75"/>
      <x:c r="G26" s="75"/>
      <x:c r="H26" s="75"/>
      <x:c r="I26" s="75"/>
      <x:c r="J26" s="75"/>
      <x:c r="K26" s="75"/>
      <x:c r="L26" s="75"/>
    </x:row>
  </x:sheetData>
  <x:mergeCells>
    <x:mergeCell ref="A1:L1"/>
    <x:mergeCell ref="A26:L2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9" hidden="0" customWidth="1"/>
    <x:col min="3" max="3" width="15" hidden="0" customWidth="1"/>
    <x:col min="4" max="4" width="18" hidden="0" customWidth="1"/>
    <x:col min="5" max="5" width="18" hidden="0" customWidth="1"/>
    <x:col min="6" max="6" width="18" hidden="0" customWidth="1"/>
    <x:col min="7" max="7" width="19" hidden="0" customWidth="1"/>
    <x:col min="8" max="8" width="20" hidden="0" customWidth="1"/>
    <x:col min="9" max="9" width="17" hidden="0" customWidth="1"/>
    <x:col min="10" max="10" width="67" hidden="0" customWidth="1"/>
    <x:col min="11" max="11" width="71" hidden="0" customWidth="1"/>
  </x:cols>
  <x:sheetData>
    <x:row r="1" ht="34" customHeight="1">
      <x:c r="A1" s="62" t="str">
        <x:v>江西100县区 · 常住人口/户籍人口差额与潜在人口流动线索（2025）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</x:row>
    <x:row r="3" ht="34" customHeight="1">
      <x:c r="A3" s="66" t="str">
        <x:v>地市</x:v>
      </x:c>
      <x:c r="B3" s="66" t="str">
        <x:v>县区</x:v>
      </x:c>
      <x:c r="C3" s="66" t="str">
        <x:v>区县类型</x:v>
      </x:c>
      <x:c r="D3" s="66" t="str">
        <x:v>常住人口_人</x:v>
      </x:c>
      <x:c r="E3" s="66" t="str">
        <x:v>户籍人口_人</x:v>
      </x:c>
      <x:c r="F3" s="66" t="str">
        <x:v>户籍减常住_人</x:v>
      </x:c>
      <x:c r="G3" s="66" t="str">
        <x:v>差额占户籍比例</x:v>
      </x:c>
      <x:c r="H3" s="66" t="str">
        <x:v>城镇常住人口_人</x:v>
      </x:c>
      <x:c r="I3" s="66" t="str">
        <x:v>GDP_亿元</x:v>
      </x:c>
      <x:c r="J3" s="66" t="str">
        <x:v>来源URL</x:v>
      </x:c>
      <x:c r="K3" s="66" t="str">
        <x:v>统计警示</x:v>
      </x:c>
    </x:row>
    <x:row r="4" ht="25" customHeight="1">
      <x:c r="A4" s="67" t="str">
        <x:v>南昌市</x:v>
      </x:c>
      <x:c r="B4" s="67" t="str">
        <x:v>东湖区</x:v>
      </x:c>
      <x:c r="C4" s="67" t="str">
        <x:v>区</x:v>
      </x:c>
      <x:c r="D4" s="67"/>
      <x:c r="E4" s="67"/>
      <x:c r="F4" s="67" t="str">
        <x:f>IF(AND(ISNUMBER(D4),ISNUMBER(E4)),E4-D4,"")</x:f>
      </x:c>
      <x:c r="G4" s="69" t="str">
        <x:f>IF(AND(ISNUMBER(F4),ISNUMBER(E4),E4&gt;0),F4/E4,"")</x:f>
      </x:c>
      <x:c r="H4" s="67"/>
      <x:c r="I4" s="67"/>
      <x:c r="J4" s="67"/>
      <x:c r="K4" s="67" t="str">
        <x:v>常住与户籍差是跨口径差额，不等于迁出人数；区县统计辖区、年份应复核。</x:v>
      </x:c>
    </x:row>
    <x:row r="5" ht="25" customHeight="1">
      <x:c r="A5" s="67" t="str">
        <x:v>南昌市</x:v>
      </x:c>
      <x:c r="B5" s="67" t="str">
        <x:v>西湖区</x:v>
      </x:c>
      <x:c r="C5" s="67" t="str">
        <x:v>区</x:v>
      </x:c>
      <x:c r="D5" s="67"/>
      <x:c r="E5" s="67"/>
      <x:c r="F5" s="67" t="str">
        <x:f>IF(AND(ISNUMBER(D5),ISNUMBER(E5)),E5-D5,"")</x:f>
      </x:c>
      <x:c r="G5" s="69" t="str">
        <x:f>IF(AND(ISNUMBER(F5),ISNUMBER(E5),E5&gt;0),F5/E5,"")</x:f>
      </x:c>
      <x:c r="H5" s="67"/>
      <x:c r="I5" s="67"/>
      <x:c r="J5" s="67"/>
      <x:c r="K5" s="67" t="str">
        <x:v>常住与户籍差是跨口径差额，不等于迁出人数；区县统计辖区、年份应复核。</x:v>
      </x:c>
    </x:row>
    <x:row r="6" ht="25" customHeight="1">
      <x:c r="A6" s="67" t="str">
        <x:v>南昌市</x:v>
      </x:c>
      <x:c r="B6" s="67" t="str">
        <x:v>青云谱区</x:v>
      </x:c>
      <x:c r="C6" s="67" t="str">
        <x:v>区</x:v>
      </x:c>
      <x:c r="D6" s="67"/>
      <x:c r="E6" s="67"/>
      <x:c r="F6" s="67" t="str">
        <x:f>IF(AND(ISNUMBER(D6),ISNUMBER(E6)),E6-D6,"")</x:f>
      </x:c>
      <x:c r="G6" s="69" t="str">
        <x:f>IF(AND(ISNUMBER(F6),ISNUMBER(E6),E6&gt;0),F6/E6,"")</x:f>
      </x:c>
      <x:c r="H6" s="67"/>
      <x:c r="I6" s="67"/>
      <x:c r="J6" s="67"/>
      <x:c r="K6" s="67" t="str">
        <x:v>常住与户籍差是跨口径差额，不等于迁出人数；区县统计辖区、年份应复核。</x:v>
      </x:c>
    </x:row>
    <x:row r="7" ht="25" customHeight="1">
      <x:c r="A7" s="67" t="str">
        <x:v>南昌市</x:v>
      </x:c>
      <x:c r="B7" s="67" t="str">
        <x:v>青山湖区</x:v>
      </x:c>
      <x:c r="C7" s="67" t="str">
        <x:v>区</x:v>
      </x:c>
      <x:c r="D7" s="67"/>
      <x:c r="E7" s="67"/>
      <x:c r="F7" s="67" t="str">
        <x:f>IF(AND(ISNUMBER(D7),ISNUMBER(E7)),E7-D7,"")</x:f>
      </x:c>
      <x:c r="G7" s="69" t="str">
        <x:f>IF(AND(ISNUMBER(F7),ISNUMBER(E7),E7&gt;0),F7/E7,"")</x:f>
      </x:c>
      <x:c r="H7" s="67"/>
      <x:c r="I7" s="67"/>
      <x:c r="J7" s="67"/>
      <x:c r="K7" s="67" t="str">
        <x:v>常住与户籍差是跨口径差额，不等于迁出人数；区县统计辖区、年份应复核。</x:v>
      </x:c>
    </x:row>
    <x:row r="8" ht="25" customHeight="1">
      <x:c r="A8" s="67" t="str">
        <x:v>南昌市</x:v>
      </x:c>
      <x:c r="B8" s="67" t="str">
        <x:v>新建区</x:v>
      </x:c>
      <x:c r="C8" s="67" t="str">
        <x:v>区</x:v>
      </x:c>
      <x:c r="D8" s="67"/>
      <x:c r="E8" s="67"/>
      <x:c r="F8" s="67" t="str">
        <x:f>IF(AND(ISNUMBER(D8),ISNUMBER(E8)),E8-D8,"")</x:f>
      </x:c>
      <x:c r="G8" s="69" t="str">
        <x:f>IF(AND(ISNUMBER(F8),ISNUMBER(E8),E8&gt;0),F8/E8,"")</x:f>
      </x:c>
      <x:c r="H8" s="67"/>
      <x:c r="I8" s="67"/>
      <x:c r="J8" s="67"/>
      <x:c r="K8" s="67" t="str">
        <x:v>常住与户籍差是跨口径差额，不等于迁出人数；区县统计辖区、年份应复核。</x:v>
      </x:c>
    </x:row>
    <x:row r="9" ht="25" customHeight="1">
      <x:c r="A9" s="67" t="str">
        <x:v>南昌市</x:v>
      </x:c>
      <x:c r="B9" s="67" t="str">
        <x:v>红谷滩区</x:v>
      </x:c>
      <x:c r="C9" s="67" t="str">
        <x:v>区</x:v>
      </x:c>
      <x:c r="D9" s="67"/>
      <x:c r="E9" s="67"/>
      <x:c r="F9" s="67" t="str">
        <x:f>IF(AND(ISNUMBER(D9),ISNUMBER(E9)),E9-D9,"")</x:f>
      </x:c>
      <x:c r="G9" s="69" t="str">
        <x:f>IF(AND(ISNUMBER(F9),ISNUMBER(E9),E9&gt;0),F9/E9,"")</x:f>
      </x:c>
      <x:c r="H9" s="67"/>
      <x:c r="I9" s="67"/>
      <x:c r="J9" s="67"/>
      <x:c r="K9" s="67" t="str">
        <x:v>常住与户籍差是跨口径差额，不等于迁出人数；区县统计辖区、年份应复核。</x:v>
      </x:c>
    </x:row>
    <x:row r="10" ht="25" customHeight="1">
      <x:c r="A10" s="67" t="str">
        <x:v>南昌市</x:v>
      </x:c>
      <x:c r="B10" s="67" t="str">
        <x:v>南昌县</x:v>
      </x:c>
      <x:c r="C10" s="67" t="str">
        <x:v>县</x:v>
      </x:c>
      <x:c r="D10" s="67"/>
      <x:c r="E10" s="67" t="n">
        <x:v>1077976</x:v>
      </x:c>
      <x:c r="F10" s="67" t="str">
        <x:f>IF(AND(ISNUMBER(D10),ISNUMBER(E10)),E10-D10,"")</x:f>
      </x:c>
      <x:c r="G10" s="69" t="str">
        <x:f>IF(AND(ISNUMBER(F10),ISNUMBER(E10),E10&gt;0),F10/E10,"")</x:f>
      </x:c>
      <x:c r="H10" s="67"/>
      <x:c r="I10" s="67" t="n">
        <x:v>1461.21</x:v>
      </x:c>
      <x:c r="J10" s="67" t="str">
        <x:v>https://ncx.nc.gov.cn/ncxrmzf/tjgb01h/202604/fd1aa6251dbf45ef8737d4553710064f.shtml</x:v>
      </x:c>
      <x:c r="K10" s="67" t="str">
        <x:v>常住与户籍差是跨口径差额，不等于迁出人数；区县统计辖区、年份应复核。</x:v>
      </x:c>
    </x:row>
    <x:row r="11" ht="25" customHeight="1">
      <x:c r="A11" s="67" t="str">
        <x:v>南昌市</x:v>
      </x:c>
      <x:c r="B11" s="67" t="str">
        <x:v>安义县</x:v>
      </x:c>
      <x:c r="C11" s="67" t="str">
        <x:v>县</x:v>
      </x:c>
      <x:c r="D11" s="67"/>
      <x:c r="E11" s="67"/>
      <x:c r="F11" s="67" t="str">
        <x:f>IF(AND(ISNUMBER(D11),ISNUMBER(E11)),E11-D11,"")</x:f>
      </x:c>
      <x:c r="G11" s="69" t="str">
        <x:f>IF(AND(ISNUMBER(F11),ISNUMBER(E11),E11&gt;0),F11/E11,"")</x:f>
      </x:c>
      <x:c r="H11" s="67"/>
      <x:c r="I11" s="67"/>
      <x:c r="J11" s="67"/>
      <x:c r="K11" s="67" t="str">
        <x:v>常住与户籍差是跨口径差额，不等于迁出人数；区县统计辖区、年份应复核。</x:v>
      </x:c>
    </x:row>
    <x:row r="12" ht="25" customHeight="1">
      <x:c r="A12" s="67" t="str">
        <x:v>南昌市</x:v>
      </x:c>
      <x:c r="B12" s="67" t="str">
        <x:v>进贤县</x:v>
      </x:c>
      <x:c r="C12" s="67" t="str">
        <x:v>县</x:v>
      </x:c>
      <x:c r="D12" s="67" t="n">
        <x:v>635000</x:v>
      </x:c>
      <x:c r="E12" s="67" t="n">
        <x:v>822100</x:v>
      </x:c>
      <x:c r="F12" s="67" t="n">
        <x:f>IF(AND(ISNUMBER(D12),ISNUMBER(E12)),E12-D12,"")</x:f>
        <x:v>187100</x:v>
      </x:c>
      <x:c r="G12" s="69" t="n">
        <x:f>IF(AND(ISNUMBER(F12),ISNUMBER(E12),E12&gt;0),F12/E12,"")</x:f>
        <x:v>0.22758788468556138</x:v>
      </x:c>
      <x:c r="H12" s="67" t="n">
        <x:v>342000</x:v>
      </x:c>
      <x:c r="I12" s="67" t="n">
        <x:v>402.22</x:v>
      </x:c>
      <x:c r="J12" s="67" t="str">
        <x:v>https://tjgb.hongheiku.com/xjtjgb/xj2020/80003.html</x:v>
      </x:c>
      <x:c r="K12" s="67" t="str">
        <x:v>常住与户籍差是跨口径差额，不等于迁出人数；区县统计辖区、年份应复核。</x:v>
      </x:c>
    </x:row>
    <x:row r="13" ht="25" customHeight="1">
      <x:c r="A13" s="67" t="str">
        <x:v>景德镇市</x:v>
      </x:c>
      <x:c r="B13" s="67" t="str">
        <x:v>昌江区</x:v>
      </x:c>
      <x:c r="C13" s="67" t="str">
        <x:v>区</x:v>
      </x:c>
      <x:c r="D13" s="67"/>
      <x:c r="E13" s="67"/>
      <x:c r="F13" s="67" t="str">
        <x:f>IF(AND(ISNUMBER(D13),ISNUMBER(E13)),E13-D13,"")</x:f>
      </x:c>
      <x:c r="G13" s="69" t="str">
        <x:f>IF(AND(ISNUMBER(F13),ISNUMBER(E13),E13&gt;0),F13/E13,"")</x:f>
      </x:c>
      <x:c r="H13" s="67"/>
      <x:c r="I13" s="67"/>
      <x:c r="J13" s="67"/>
      <x:c r="K13" s="67" t="str">
        <x:v>常住与户籍差是跨口径差额，不等于迁出人数；区县统计辖区、年份应复核。</x:v>
      </x:c>
    </x:row>
    <x:row r="14" ht="25" customHeight="1">
      <x:c r="A14" s="67" t="str">
        <x:v>景德镇市</x:v>
      </x:c>
      <x:c r="B14" s="67" t="str">
        <x:v>珠山区</x:v>
      </x:c>
      <x:c r="C14" s="67" t="str">
        <x:v>区</x:v>
      </x:c>
      <x:c r="D14" s="67"/>
      <x:c r="E14" s="67"/>
      <x:c r="F14" s="67" t="str">
        <x:f>IF(AND(ISNUMBER(D14),ISNUMBER(E14)),E14-D14,"")</x:f>
      </x:c>
      <x:c r="G14" s="69" t="str">
        <x:f>IF(AND(ISNUMBER(F14),ISNUMBER(E14),E14&gt;0),F14/E14,"")</x:f>
      </x:c>
      <x:c r="H14" s="67"/>
      <x:c r="I14" s="67"/>
      <x:c r="J14" s="67"/>
      <x:c r="K14" s="67" t="str">
        <x:v>常住与户籍差是跨口径差额，不等于迁出人数；区县统计辖区、年份应复核。</x:v>
      </x:c>
    </x:row>
    <x:row r="15" ht="25" customHeight="1">
      <x:c r="A15" s="67" t="str">
        <x:v>景德镇市</x:v>
      </x:c>
      <x:c r="B15" s="67" t="str">
        <x:v>乐平市</x:v>
      </x:c>
      <x:c r="C15" s="67" t="str">
        <x:v>县级市</x:v>
      </x:c>
      <x:c r="D15" s="67"/>
      <x:c r="E15" s="67"/>
      <x:c r="F15" s="67" t="str">
        <x:f>IF(AND(ISNUMBER(D15),ISNUMBER(E15)),E15-D15,"")</x:f>
      </x:c>
      <x:c r="G15" s="69" t="str">
        <x:f>IF(AND(ISNUMBER(F15),ISNUMBER(E15),E15&gt;0),F15/E15,"")</x:f>
      </x:c>
      <x:c r="H15" s="67"/>
      <x:c r="I15" s="67"/>
      <x:c r="J15" s="67"/>
      <x:c r="K15" s="67" t="str">
        <x:v>常住与户籍差是跨口径差额，不等于迁出人数；区县统计辖区、年份应复核。</x:v>
      </x:c>
    </x:row>
    <x:row r="16" ht="25" customHeight="1">
      <x:c r="A16" s="67" t="str">
        <x:v>景德镇市</x:v>
      </x:c>
      <x:c r="B16" s="67" t="str">
        <x:v>浮梁县</x:v>
      </x:c>
      <x:c r="C16" s="67" t="str">
        <x:v>县</x:v>
      </x:c>
      <x:c r="D16" s="67" t="n">
        <x:v>275868</x:v>
      </x:c>
      <x:c r="E16" s="67"/>
      <x:c r="F16" s="67" t="str">
        <x:f>IF(AND(ISNUMBER(D16),ISNUMBER(E16)),E16-D16,"")</x:f>
      </x:c>
      <x:c r="G16" s="69" t="str">
        <x:f>IF(AND(ISNUMBER(F16),ISNUMBER(E16),E16&gt;0),F16/E16,"")</x:f>
      </x:c>
      <x:c r="H16" s="67" t="n">
        <x:v>186465</x:v>
      </x:c>
      <x:c r="I16" s="67" t="n">
        <x:v>191.31</x:v>
      </x:c>
      <x:c r="J16" s="67" t="str">
        <x:v>https://www.fuliang.gov.cn/zjfl/</x:v>
      </x:c>
      <x:c r="K16" s="67" t="str">
        <x:v>常住与户籍差是跨口径差额，不等于迁出人数；区县统计辖区、年份应复核。</x:v>
      </x:c>
    </x:row>
    <x:row r="17" ht="25" customHeight="1">
      <x:c r="A17" s="67" t="str">
        <x:v>萍乡市</x:v>
      </x:c>
      <x:c r="B17" s="67" t="str">
        <x:v>安源区</x:v>
      </x:c>
      <x:c r="C17" s="67" t="str">
        <x:v>区</x:v>
      </x:c>
      <x:c r="D17" s="67"/>
      <x:c r="E17" s="67"/>
      <x:c r="F17" s="67" t="str">
        <x:f>IF(AND(ISNUMBER(D17),ISNUMBER(E17)),E17-D17,"")</x:f>
      </x:c>
      <x:c r="G17" s="69" t="str">
        <x:f>IF(AND(ISNUMBER(F17),ISNUMBER(E17),E17&gt;0),F17/E17,"")</x:f>
      </x:c>
      <x:c r="H17" s="67"/>
      <x:c r="I17" s="67"/>
      <x:c r="J17" s="67"/>
      <x:c r="K17" s="67" t="str">
        <x:v>常住与户籍差是跨口径差额，不等于迁出人数；区县统计辖区、年份应复核。</x:v>
      </x:c>
    </x:row>
    <x:row r="18" ht="25" customHeight="1">
      <x:c r="A18" s="67" t="str">
        <x:v>萍乡市</x:v>
      </x:c>
      <x:c r="B18" s="67" t="str">
        <x:v>湘东区</x:v>
      </x:c>
      <x:c r="C18" s="67" t="str">
        <x:v>区</x:v>
      </x:c>
      <x:c r="D18" s="67"/>
      <x:c r="E18" s="67"/>
      <x:c r="F18" s="67" t="str">
        <x:f>IF(AND(ISNUMBER(D18),ISNUMBER(E18)),E18-D18,"")</x:f>
      </x:c>
      <x:c r="G18" s="69" t="str">
        <x:f>IF(AND(ISNUMBER(F18),ISNUMBER(E18),E18&gt;0),F18/E18,"")</x:f>
      </x:c>
      <x:c r="H18" s="67"/>
      <x:c r="I18" s="67"/>
      <x:c r="J18" s="67" t="str">
        <x:v>https://tjgb.hongheiku.com/xjtjgb/xj2020/77691.html</x:v>
      </x:c>
      <x:c r="K18" s="67" t="str">
        <x:v>常住与户籍差是跨口径差额，不等于迁出人数；区县统计辖区、年份应复核。</x:v>
      </x:c>
    </x:row>
    <x:row r="19" ht="25" customHeight="1">
      <x:c r="A19" s="67" t="str">
        <x:v>萍乡市</x:v>
      </x:c>
      <x:c r="B19" s="67" t="str">
        <x:v>莲花县</x:v>
      </x:c>
      <x:c r="C19" s="67" t="str">
        <x:v>县</x:v>
      </x:c>
      <x:c r="D19" s="67"/>
      <x:c r="E19" s="67"/>
      <x:c r="F19" s="67" t="str">
        <x:f>IF(AND(ISNUMBER(D19),ISNUMBER(E19)),E19-D19,"")</x:f>
      </x:c>
      <x:c r="G19" s="69" t="str">
        <x:f>IF(AND(ISNUMBER(F19),ISNUMBER(E19),E19&gt;0),F19/E19,"")</x:f>
      </x:c>
      <x:c r="H19" s="67"/>
      <x:c r="I19" s="67"/>
      <x:c r="J19" s="67"/>
      <x:c r="K19" s="67" t="str">
        <x:v>常住与户籍差是跨口径差额，不等于迁出人数；区县统计辖区、年份应复核。</x:v>
      </x:c>
    </x:row>
    <x:row r="20" ht="25" customHeight="1">
      <x:c r="A20" s="67" t="str">
        <x:v>萍乡市</x:v>
      </x:c>
      <x:c r="B20" s="67" t="str">
        <x:v>上栗县</x:v>
      </x:c>
      <x:c r="C20" s="67" t="str">
        <x:v>县</x:v>
      </x:c>
      <x:c r="D20" s="67"/>
      <x:c r="E20" s="67"/>
      <x:c r="F20" s="67" t="str">
        <x:f>IF(AND(ISNUMBER(D20),ISNUMBER(E20)),E20-D20,"")</x:f>
      </x:c>
      <x:c r="G20" s="69" t="str">
        <x:f>IF(AND(ISNUMBER(F20),ISNUMBER(E20),E20&gt;0),F20/E20,"")</x:f>
      </x:c>
      <x:c r="H20" s="67"/>
      <x:c r="I20" s="67"/>
      <x:c r="J20" s="67"/>
      <x:c r="K20" s="67" t="str">
        <x:v>常住与户籍差是跨口径差额，不等于迁出人数；区县统计辖区、年份应复核。</x:v>
      </x:c>
    </x:row>
    <x:row r="21" ht="25" customHeight="1">
      <x:c r="A21" s="67" t="str">
        <x:v>萍乡市</x:v>
      </x:c>
      <x:c r="B21" s="67" t="str">
        <x:v>芦溪县</x:v>
      </x:c>
      <x:c r="C21" s="67" t="str">
        <x:v>县</x:v>
      </x:c>
      <x:c r="D21" s="67"/>
      <x:c r="E21" s="67"/>
      <x:c r="F21" s="67" t="str">
        <x:f>IF(AND(ISNUMBER(D21),ISNUMBER(E21)),E21-D21,"")</x:f>
      </x:c>
      <x:c r="G21" s="69" t="str">
        <x:f>IF(AND(ISNUMBER(F21),ISNUMBER(E21),E21&gt;0),F21/E21,"")</x:f>
      </x:c>
      <x:c r="H21" s="67"/>
      <x:c r="I21" s="67"/>
      <x:c r="J21" s="67"/>
      <x:c r="K21" s="67" t="str">
        <x:v>常住与户籍差是跨口径差额，不等于迁出人数；区县统计辖区、年份应复核。</x:v>
      </x:c>
    </x:row>
    <x:row r="22" ht="25" customHeight="1">
      <x:c r="A22" s="67" t="str">
        <x:v>九江市</x:v>
      </x:c>
      <x:c r="B22" s="67" t="str">
        <x:v>濂溪区</x:v>
      </x:c>
      <x:c r="C22" s="67" t="str">
        <x:v>区</x:v>
      </x:c>
      <x:c r="D22" s="67"/>
      <x:c r="E22" s="67"/>
      <x:c r="F22" s="67" t="str">
        <x:f>IF(AND(ISNUMBER(D22),ISNUMBER(E22)),E22-D22,"")</x:f>
      </x:c>
      <x:c r="G22" s="69" t="str">
        <x:f>IF(AND(ISNUMBER(F22),ISNUMBER(E22),E22&gt;0),F22/E22,"")</x:f>
      </x:c>
      <x:c r="H22" s="67"/>
      <x:c r="I22" s="67"/>
      <x:c r="J22" s="67"/>
      <x:c r="K22" s="67" t="str">
        <x:v>常住与户籍差是跨口径差额，不等于迁出人数；区县统计辖区、年份应复核。</x:v>
      </x:c>
    </x:row>
    <x:row r="23" ht="25" customHeight="1">
      <x:c r="A23" s="67" t="str">
        <x:v>九江市</x:v>
      </x:c>
      <x:c r="B23" s="67" t="str">
        <x:v>浔阳区</x:v>
      </x:c>
      <x:c r="C23" s="67" t="str">
        <x:v>区</x:v>
      </x:c>
      <x:c r="D23" s="67"/>
      <x:c r="E23" s="67"/>
      <x:c r="F23" s="67" t="str">
        <x:f>IF(AND(ISNUMBER(D23),ISNUMBER(E23)),E23-D23,"")</x:f>
      </x:c>
      <x:c r="G23" s="69" t="str">
        <x:f>IF(AND(ISNUMBER(F23),ISNUMBER(E23),E23&gt;0),F23/E23,"")</x:f>
      </x:c>
      <x:c r="H23" s="67"/>
      <x:c r="I23" s="67"/>
      <x:c r="J23" s="67"/>
      <x:c r="K23" s="67" t="str">
        <x:v>常住与户籍差是跨口径差额，不等于迁出人数；区县统计辖区、年份应复核。</x:v>
      </x:c>
    </x:row>
    <x:row r="24" ht="25" customHeight="1">
      <x:c r="A24" s="67" t="str">
        <x:v>九江市</x:v>
      </x:c>
      <x:c r="B24" s="67" t="str">
        <x:v>柴桑区</x:v>
      </x:c>
      <x:c r="C24" s="67" t="str">
        <x:v>区</x:v>
      </x:c>
      <x:c r="D24" s="67"/>
      <x:c r="E24" s="67"/>
      <x:c r="F24" s="67" t="str">
        <x:f>IF(AND(ISNUMBER(D24),ISNUMBER(E24)),E24-D24,"")</x:f>
      </x:c>
      <x:c r="G24" s="69" t="str">
        <x:f>IF(AND(ISNUMBER(F24),ISNUMBER(E24),E24&gt;0),F24/E24,"")</x:f>
      </x:c>
      <x:c r="H24" s="67"/>
      <x:c r="I24" s="67"/>
      <x:c r="J24" s="67"/>
      <x:c r="K24" s="67" t="str">
        <x:v>常住与户籍差是跨口径差额，不等于迁出人数；区县统计辖区、年份应复核。</x:v>
      </x:c>
    </x:row>
    <x:row r="25" ht="25" customHeight="1">
      <x:c r="A25" s="67" t="str">
        <x:v>九江市</x:v>
      </x:c>
      <x:c r="B25" s="67" t="str">
        <x:v>瑞昌市</x:v>
      </x:c>
      <x:c r="C25" s="67" t="str">
        <x:v>县级市</x:v>
      </x:c>
      <x:c r="D25" s="67"/>
      <x:c r="E25" s="67"/>
      <x:c r="F25" s="67" t="str">
        <x:f>IF(AND(ISNUMBER(D25),ISNUMBER(E25)),E25-D25,"")</x:f>
      </x:c>
      <x:c r="G25" s="69" t="str">
        <x:f>IF(AND(ISNUMBER(F25),ISNUMBER(E25),E25&gt;0),F25/E25,"")</x:f>
      </x:c>
      <x:c r="H25" s="67"/>
      <x:c r="I25" s="67"/>
      <x:c r="J25" s="67"/>
      <x:c r="K25" s="67" t="str">
        <x:v>常住与户籍差是跨口径差额，不等于迁出人数；区县统计辖区、年份应复核。</x:v>
      </x:c>
    </x:row>
    <x:row r="26" ht="25" customHeight="1">
      <x:c r="A26" s="67" t="str">
        <x:v>九江市</x:v>
      </x:c>
      <x:c r="B26" s="67" t="str">
        <x:v>共青城市</x:v>
      </x:c>
      <x:c r="C26" s="67" t="str">
        <x:v>县级市</x:v>
      </x:c>
      <x:c r="D26" s="67"/>
      <x:c r="E26" s="67"/>
      <x:c r="F26" s="67" t="str">
        <x:f>IF(AND(ISNUMBER(D26),ISNUMBER(E26)),E26-D26,"")</x:f>
      </x:c>
      <x:c r="G26" s="69" t="str">
        <x:f>IF(AND(ISNUMBER(F26),ISNUMBER(E26),E26&gt;0),F26/E26,"")</x:f>
      </x:c>
      <x:c r="H26" s="67"/>
      <x:c r="I26" s="67"/>
      <x:c r="J26" s="67"/>
      <x:c r="K26" s="67" t="str">
        <x:v>常住与户籍差是跨口径差额，不等于迁出人数；区县统计辖区、年份应复核。</x:v>
      </x:c>
    </x:row>
    <x:row r="27" ht="25" customHeight="1">
      <x:c r="A27" s="67" t="str">
        <x:v>九江市</x:v>
      </x:c>
      <x:c r="B27" s="67" t="str">
        <x:v>庐山市</x:v>
      </x:c>
      <x:c r="C27" s="67" t="str">
        <x:v>县级市</x:v>
      </x:c>
      <x:c r="D27" s="67"/>
      <x:c r="E27" s="67"/>
      <x:c r="F27" s="67" t="str">
        <x:f>IF(AND(ISNUMBER(D27),ISNUMBER(E27)),E27-D27,"")</x:f>
      </x:c>
      <x:c r="G27" s="69" t="str">
        <x:f>IF(AND(ISNUMBER(F27),ISNUMBER(E27),E27&gt;0),F27/E27,"")</x:f>
      </x:c>
      <x:c r="H27" s="67"/>
      <x:c r="I27" s="67"/>
      <x:c r="J27" s="67"/>
      <x:c r="K27" s="67" t="str">
        <x:v>常住与户籍差是跨口径差额，不等于迁出人数；区县统计辖区、年份应复核。</x:v>
      </x:c>
    </x:row>
    <x:row r="28" ht="25" customHeight="1">
      <x:c r="A28" s="67" t="str">
        <x:v>九江市</x:v>
      </x:c>
      <x:c r="B28" s="67" t="str">
        <x:v>武宁县</x:v>
      </x:c>
      <x:c r="C28" s="67" t="str">
        <x:v>县</x:v>
      </x:c>
      <x:c r="D28" s="67" t="n">
        <x:v>299219</x:v>
      </x:c>
      <x:c r="E28" s="67"/>
      <x:c r="F28" s="67" t="str">
        <x:f>IF(AND(ISNUMBER(D28),ISNUMBER(E28)),E28-D28,"")</x:f>
      </x:c>
      <x:c r="G28" s="69" t="str">
        <x:f>IF(AND(ISNUMBER(F28),ISNUMBER(E28),E28&gt;0),F28/E28,"")</x:f>
      </x:c>
      <x:c r="H28" s="67" t="n">
        <x:v>163948</x:v>
      </x:c>
      <x:c r="I28" s="67"/>
      <x:c r="J28" s="67" t="str">
        <x:v>https://maptable.com/tjgb/2025/%E4%B9%9D%E6%B1%9F%E5%B8%82/%E6%AD%A6%E5%AE%81%E5%8E%BF/report/jiu-jiang-shi-wu-ning-xian-2025-nian-guo-min-jing-ji-he-she-hui-fa-zhan-tong-ji-gong-bao-2</x:v>
      </x:c>
      <x:c r="K28" s="67" t="str">
        <x:v>常住与户籍差是跨口径差额，不等于迁出人数；区县统计辖区、年份应复核。</x:v>
      </x:c>
    </x:row>
    <x:row r="29" ht="25" customHeight="1">
      <x:c r="A29" s="67" t="str">
        <x:v>九江市</x:v>
      </x:c>
      <x:c r="B29" s="67" t="str">
        <x:v>修水县</x:v>
      </x:c>
      <x:c r="C29" s="67" t="str">
        <x:v>县</x:v>
      </x:c>
      <x:c r="D29" s="67"/>
      <x:c r="E29" s="67"/>
      <x:c r="F29" s="67" t="str">
        <x:f>IF(AND(ISNUMBER(D29),ISNUMBER(E29)),E29-D29,"")</x:f>
      </x:c>
      <x:c r="G29" s="69" t="str">
        <x:f>IF(AND(ISNUMBER(F29),ISNUMBER(E29),E29&gt;0),F29/E29,"")</x:f>
      </x:c>
      <x:c r="H29" s="67"/>
      <x:c r="I29" s="67"/>
      <x:c r="J29" s="67"/>
      <x:c r="K29" s="67" t="str">
        <x:v>常住与户籍差是跨口径差额，不等于迁出人数；区县统计辖区、年份应复核。</x:v>
      </x:c>
    </x:row>
    <x:row r="30" ht="25" customHeight="1">
      <x:c r="A30" s="67" t="str">
        <x:v>九江市</x:v>
      </x:c>
      <x:c r="B30" s="67" t="str">
        <x:v>永修县</x:v>
      </x:c>
      <x:c r="C30" s="67" t="str">
        <x:v>县</x:v>
      </x:c>
      <x:c r="D30" s="67"/>
      <x:c r="E30" s="67"/>
      <x:c r="F30" s="67" t="str">
        <x:f>IF(AND(ISNUMBER(D30),ISNUMBER(E30)),E30-D30,"")</x:f>
      </x:c>
      <x:c r="G30" s="69" t="str">
        <x:f>IF(AND(ISNUMBER(F30),ISNUMBER(E30),E30&gt;0),F30/E30,"")</x:f>
      </x:c>
      <x:c r="H30" s="67"/>
      <x:c r="I30" s="67"/>
      <x:c r="J30" s="67"/>
      <x:c r="K30" s="67" t="str">
        <x:v>常住与户籍差是跨口径差额，不等于迁出人数；区县统计辖区、年份应复核。</x:v>
      </x:c>
    </x:row>
    <x:row r="31" ht="25" customHeight="1">
      <x:c r="A31" s="67" t="str">
        <x:v>九江市</x:v>
      </x:c>
      <x:c r="B31" s="67" t="str">
        <x:v>德安县</x:v>
      </x:c>
      <x:c r="C31" s="67" t="str">
        <x:v>县</x:v>
      </x:c>
      <x:c r="D31" s="67"/>
      <x:c r="E31" s="67"/>
      <x:c r="F31" s="67" t="str">
        <x:f>IF(AND(ISNUMBER(D31),ISNUMBER(E31)),E31-D31,"")</x:f>
      </x:c>
      <x:c r="G31" s="69" t="str">
        <x:f>IF(AND(ISNUMBER(F31),ISNUMBER(E31),E31&gt;0),F31/E31,"")</x:f>
      </x:c>
      <x:c r="H31" s="67"/>
      <x:c r="I31" s="67"/>
      <x:c r="J31" s="67"/>
      <x:c r="K31" s="67" t="str">
        <x:v>常住与户籍差是跨口径差额，不等于迁出人数；区县统计辖区、年份应复核。</x:v>
      </x:c>
    </x:row>
    <x:row r="32" ht="25" customHeight="1">
      <x:c r="A32" s="67" t="str">
        <x:v>九江市</x:v>
      </x:c>
      <x:c r="B32" s="67" t="str">
        <x:v>都昌县</x:v>
      </x:c>
      <x:c r="C32" s="67" t="str">
        <x:v>县</x:v>
      </x:c>
      <x:c r="D32" s="67" t="n">
        <x:v>527481</x:v>
      </x:c>
      <x:c r="E32" s="67" t="n">
        <x:v>766235</x:v>
      </x:c>
      <x:c r="F32" s="67" t="n">
        <x:f>IF(AND(ISNUMBER(D32),ISNUMBER(E32)),E32-D32,"")</x:f>
        <x:v>238754</x:v>
      </x:c>
      <x:c r="G32" s="69" t="n">
        <x:f>IF(AND(ISNUMBER(F32),ISNUMBER(E32),E32&gt;0),F32/E32,"")</x:f>
        <x:v>0.31159370167115835</x:v>
      </x:c>
      <x:c r="H32" s="67" t="n">
        <x:v>238638</x:v>
      </x:c>
      <x:c r="I32" s="67"/>
      <x:c r="J32" s="67" t="str">
        <x:v>https://tjgb.hongheiku.com/xjtjgb/xj2020/78303.html</x:v>
      </x:c>
      <x:c r="K32" s="67" t="str">
        <x:v>常住与户籍差是跨口径差额，不等于迁出人数；区县统计辖区、年份应复核。</x:v>
      </x:c>
    </x:row>
    <x:row r="33" ht="25" customHeight="1">
      <x:c r="A33" s="67" t="str">
        <x:v>九江市</x:v>
      </x:c>
      <x:c r="B33" s="67" t="str">
        <x:v>湖口县</x:v>
      </x:c>
      <x:c r="C33" s="67" t="str">
        <x:v>县</x:v>
      </x:c>
      <x:c r="D33" s="67"/>
      <x:c r="E33" s="67"/>
      <x:c r="F33" s="67" t="str">
        <x:f>IF(AND(ISNUMBER(D33),ISNUMBER(E33)),E33-D33,"")</x:f>
      </x:c>
      <x:c r="G33" s="69" t="str">
        <x:f>IF(AND(ISNUMBER(F33),ISNUMBER(E33),E33&gt;0),F33/E33,"")</x:f>
      </x:c>
      <x:c r="H33" s="67"/>
      <x:c r="I33" s="67"/>
      <x:c r="J33" s="67"/>
      <x:c r="K33" s="67" t="str">
        <x:v>常住与户籍差是跨口径差额，不等于迁出人数；区县统计辖区、年份应复核。</x:v>
      </x:c>
    </x:row>
    <x:row r="34" ht="25" customHeight="1">
      <x:c r="A34" s="67" t="str">
        <x:v>九江市</x:v>
      </x:c>
      <x:c r="B34" s="67" t="str">
        <x:v>彭泽县</x:v>
      </x:c>
      <x:c r="C34" s="67" t="str">
        <x:v>县</x:v>
      </x:c>
      <x:c r="D34" s="67"/>
      <x:c r="E34" s="67"/>
      <x:c r="F34" s="67" t="str">
        <x:f>IF(AND(ISNUMBER(D34),ISNUMBER(E34)),E34-D34,"")</x:f>
      </x:c>
      <x:c r="G34" s="69" t="str">
        <x:f>IF(AND(ISNUMBER(F34),ISNUMBER(E34),E34&gt;0),F34/E34,"")</x:f>
      </x:c>
      <x:c r="H34" s="67"/>
      <x:c r="I34" s="67"/>
      <x:c r="J34" s="67"/>
      <x:c r="K34" s="67" t="str">
        <x:v>常住与户籍差是跨口径差额，不等于迁出人数；区县统计辖区、年份应复核。</x:v>
      </x:c>
    </x:row>
    <x:row r="35" ht="25" customHeight="1">
      <x:c r="A35" s="67" t="str">
        <x:v>新余市</x:v>
      </x:c>
      <x:c r="B35" s="67" t="str">
        <x:v>渝水区</x:v>
      </x:c>
      <x:c r="C35" s="67" t="str">
        <x:v>区</x:v>
      </x:c>
      <x:c r="D35" s="67"/>
      <x:c r="E35" s="67"/>
      <x:c r="F35" s="67" t="str">
        <x:f>IF(AND(ISNUMBER(D35),ISNUMBER(E35)),E35-D35,"")</x:f>
      </x:c>
      <x:c r="G35" s="69" t="str">
        <x:f>IF(AND(ISNUMBER(F35),ISNUMBER(E35),E35&gt;0),F35/E35,"")</x:f>
      </x:c>
      <x:c r="H35" s="67"/>
      <x:c r="I35" s="67"/>
      <x:c r="J35" s="67"/>
      <x:c r="K35" s="67" t="str">
        <x:v>常住与户籍差是跨口径差额，不等于迁出人数；区县统计辖区、年份应复核。</x:v>
      </x:c>
    </x:row>
    <x:row r="36" ht="25" customHeight="1">
      <x:c r="A36" s="67" t="str">
        <x:v>新余市</x:v>
      </x:c>
      <x:c r="B36" s="67" t="str">
        <x:v>分宜县</x:v>
      </x:c>
      <x:c r="C36" s="67" t="str">
        <x:v>县</x:v>
      </x:c>
      <x:c r="D36" s="67" t="n">
        <x:v>264758</x:v>
      </x:c>
      <x:c r="E36" s="67"/>
      <x:c r="F36" s="67" t="str">
        <x:f>IF(AND(ISNUMBER(D36),ISNUMBER(E36)),E36-D36,"")</x:f>
      </x:c>
      <x:c r="G36" s="69" t="str">
        <x:f>IF(AND(ISNUMBER(F36),ISNUMBER(E36),E36&gt;0),F36/E36,"")</x:f>
      </x:c>
      <x:c r="H36" s="67" t="n">
        <x:v>178380</x:v>
      </x:c>
      <x:c r="I36" s="67" t="n">
        <x:v>243.23</x:v>
      </x:c>
      <x:c r="J36" s="67" t="str">
        <x:v>https://tjgb.hongheiku.com/xjtjgb/xj2020/72716.html</x:v>
      </x:c>
      <x:c r="K36" s="67" t="str">
        <x:v>常住与户籍差是跨口径差额，不等于迁出人数；区县统计辖区、年份应复核。</x:v>
      </x:c>
    </x:row>
    <x:row r="37" ht="25" customHeight="1">
      <x:c r="A37" s="67" t="str">
        <x:v>鹰潭市</x:v>
      </x:c>
      <x:c r="B37" s="67" t="str">
        <x:v>月湖区</x:v>
      </x:c>
      <x:c r="C37" s="67" t="str">
        <x:v>区</x:v>
      </x:c>
      <x:c r="D37" s="67"/>
      <x:c r="E37" s="67"/>
      <x:c r="F37" s="67" t="str">
        <x:f>IF(AND(ISNUMBER(D37),ISNUMBER(E37)),E37-D37,"")</x:f>
      </x:c>
      <x:c r="G37" s="69" t="str">
        <x:f>IF(AND(ISNUMBER(F37),ISNUMBER(E37),E37&gt;0),F37/E37,"")</x:f>
      </x:c>
      <x:c r="H37" s="67"/>
      <x:c r="I37" s="67"/>
      <x:c r="J37" s="67"/>
      <x:c r="K37" s="67" t="str">
        <x:v>常住与户籍差是跨口径差额，不等于迁出人数；区县统计辖区、年份应复核。</x:v>
      </x:c>
    </x:row>
    <x:row r="38" ht="25" customHeight="1">
      <x:c r="A38" s="67" t="str">
        <x:v>鹰潭市</x:v>
      </x:c>
      <x:c r="B38" s="67" t="str">
        <x:v>余江区</x:v>
      </x:c>
      <x:c r="C38" s="67" t="str">
        <x:v>区</x:v>
      </x:c>
      <x:c r="D38" s="67"/>
      <x:c r="E38" s="67"/>
      <x:c r="F38" s="67" t="str">
        <x:f>IF(AND(ISNUMBER(D38),ISNUMBER(E38)),E38-D38,"")</x:f>
      </x:c>
      <x:c r="G38" s="69" t="str">
        <x:f>IF(AND(ISNUMBER(F38),ISNUMBER(E38),E38&gt;0),F38/E38,"")</x:f>
      </x:c>
      <x:c r="H38" s="67"/>
      <x:c r="I38" s="67"/>
      <x:c r="J38" s="67"/>
      <x:c r="K38" s="67" t="str">
        <x:v>常住与户籍差是跨口径差额，不等于迁出人数；区县统计辖区、年份应复核。</x:v>
      </x:c>
    </x:row>
    <x:row r="39" ht="25" customHeight="1">
      <x:c r="A39" s="67" t="str">
        <x:v>鹰潭市</x:v>
      </x:c>
      <x:c r="B39" s="67" t="str">
        <x:v>贵溪市</x:v>
      </x:c>
      <x:c r="C39" s="67" t="str">
        <x:v>县级市</x:v>
      </x:c>
      <x:c r="D39" s="67"/>
      <x:c r="E39" s="67"/>
      <x:c r="F39" s="67" t="str">
        <x:f>IF(AND(ISNUMBER(D39),ISNUMBER(E39)),E39-D39,"")</x:f>
      </x:c>
      <x:c r="G39" s="69" t="str">
        <x:f>IF(AND(ISNUMBER(F39),ISNUMBER(E39),E39&gt;0),F39/E39,"")</x:f>
      </x:c>
      <x:c r="H39" s="67"/>
      <x:c r="I39" s="67"/>
      <x:c r="J39" s="67"/>
      <x:c r="K39" s="67" t="str">
        <x:v>常住与户籍差是跨口径差额，不等于迁出人数；区县统计辖区、年份应复核。</x:v>
      </x:c>
    </x:row>
    <x:row r="40" ht="25" customHeight="1">
      <x:c r="A40" s="67" t="str">
        <x:v>赣州市</x:v>
      </x:c>
      <x:c r="B40" s="67" t="str">
        <x:v>章贡区</x:v>
      </x:c>
      <x:c r="C40" s="67" t="str">
        <x:v>区</x:v>
      </x:c>
      <x:c r="D40" s="67"/>
      <x:c r="E40" s="67"/>
      <x:c r="F40" s="67" t="str">
        <x:f>IF(AND(ISNUMBER(D40),ISNUMBER(E40)),E40-D40,"")</x:f>
      </x:c>
      <x:c r="G40" s="69" t="str">
        <x:f>IF(AND(ISNUMBER(F40),ISNUMBER(E40),E40&gt;0),F40/E40,"")</x:f>
      </x:c>
      <x:c r="H40" s="67"/>
      <x:c r="I40" s="67"/>
      <x:c r="J40" s="67"/>
      <x:c r="K40" s="67" t="str">
        <x:v>常住与户籍差是跨口径差额，不等于迁出人数；区县统计辖区、年份应复核。</x:v>
      </x:c>
    </x:row>
    <x:row r="41" ht="25" customHeight="1">
      <x:c r="A41" s="67" t="str">
        <x:v>赣州市</x:v>
      </x:c>
      <x:c r="B41" s="67" t="str">
        <x:v>南康区</x:v>
      </x:c>
      <x:c r="C41" s="67" t="str">
        <x:v>区</x:v>
      </x:c>
      <x:c r="D41" s="67"/>
      <x:c r="E41" s="67"/>
      <x:c r="F41" s="67" t="str">
        <x:f>IF(AND(ISNUMBER(D41),ISNUMBER(E41)),E41-D41,"")</x:f>
      </x:c>
      <x:c r="G41" s="69" t="str">
        <x:f>IF(AND(ISNUMBER(F41),ISNUMBER(E41),E41&gt;0),F41/E41,"")</x:f>
      </x:c>
      <x:c r="H41" s="67"/>
      <x:c r="I41" s="67"/>
      <x:c r="J41" s="67"/>
      <x:c r="K41" s="67" t="str">
        <x:v>常住与户籍差是跨口径差额，不等于迁出人数；区县统计辖区、年份应复核。</x:v>
      </x:c>
    </x:row>
    <x:row r="42" ht="25" customHeight="1">
      <x:c r="A42" s="67" t="str">
        <x:v>赣州市</x:v>
      </x:c>
      <x:c r="B42" s="67" t="str">
        <x:v>赣县区</x:v>
      </x:c>
      <x:c r="C42" s="67" t="str">
        <x:v>区</x:v>
      </x:c>
      <x:c r="D42" s="67"/>
      <x:c r="E42" s="67"/>
      <x:c r="F42" s="67" t="str">
        <x:f>IF(AND(ISNUMBER(D42),ISNUMBER(E42)),E42-D42,"")</x:f>
      </x:c>
      <x:c r="G42" s="69" t="str">
        <x:f>IF(AND(ISNUMBER(F42),ISNUMBER(E42),E42&gt;0),F42/E42,"")</x:f>
      </x:c>
      <x:c r="H42" s="67"/>
      <x:c r="I42" s="67" t="n">
        <x:v>312.33</x:v>
      </x:c>
      <x:c r="J42" s="67" t="str">
        <x:v>https://tjgb.hongheiku.com/xjtjgb/xj2020/75251.html</x:v>
      </x:c>
      <x:c r="K42" s="67" t="str">
        <x:v>常住与户籍差是跨口径差额，不等于迁出人数；区县统计辖区、年份应复核。</x:v>
      </x:c>
    </x:row>
    <x:row r="43" ht="25" customHeight="1">
      <x:c r="A43" s="67" t="str">
        <x:v>赣州市</x:v>
      </x:c>
      <x:c r="B43" s="67" t="str">
        <x:v>瑞金市</x:v>
      </x:c>
      <x:c r="C43" s="67" t="str">
        <x:v>县级市</x:v>
      </x:c>
      <x:c r="D43" s="67"/>
      <x:c r="E43" s="67"/>
      <x:c r="F43" s="67" t="str">
        <x:f>IF(AND(ISNUMBER(D43),ISNUMBER(E43)),E43-D43,"")</x:f>
      </x:c>
      <x:c r="G43" s="69" t="str">
        <x:f>IF(AND(ISNUMBER(F43),ISNUMBER(E43),E43&gt;0),F43/E43,"")</x:f>
      </x:c>
      <x:c r="H43" s="67"/>
      <x:c r="I43" s="67"/>
      <x:c r="J43" s="67"/>
      <x:c r="K43" s="67" t="str">
        <x:v>常住与户籍差是跨口径差额，不等于迁出人数；区县统计辖区、年份应复核。</x:v>
      </x:c>
    </x:row>
    <x:row r="44" ht="25" customHeight="1">
      <x:c r="A44" s="67" t="str">
        <x:v>赣州市</x:v>
      </x:c>
      <x:c r="B44" s="67" t="str">
        <x:v>龙南市</x:v>
      </x:c>
      <x:c r="C44" s="67" t="str">
        <x:v>县级市</x:v>
      </x:c>
      <x:c r="D44" s="67"/>
      <x:c r="E44" s="67"/>
      <x:c r="F44" s="67" t="str">
        <x:f>IF(AND(ISNUMBER(D44),ISNUMBER(E44)),E44-D44,"")</x:f>
      </x:c>
      <x:c r="G44" s="69" t="str">
        <x:f>IF(AND(ISNUMBER(F44),ISNUMBER(E44),E44&gt;0),F44/E44,"")</x:f>
      </x:c>
      <x:c r="H44" s="67"/>
      <x:c r="I44" s="67"/>
      <x:c r="J44" s="67"/>
      <x:c r="K44" s="67" t="str">
        <x:v>常住与户籍差是跨口径差额，不等于迁出人数；区县统计辖区、年份应复核。</x:v>
      </x:c>
    </x:row>
    <x:row r="45" ht="25" customHeight="1">
      <x:c r="A45" s="67" t="str">
        <x:v>赣州市</x:v>
      </x:c>
      <x:c r="B45" s="67" t="str">
        <x:v>信丰县</x:v>
      </x:c>
      <x:c r="C45" s="67" t="str">
        <x:v>县</x:v>
      </x:c>
      <x:c r="D45" s="67" t="n">
        <x:v>672406</x:v>
      </x:c>
      <x:c r="E45" s="67"/>
      <x:c r="F45" s="67" t="str">
        <x:f>IF(AND(ISNUMBER(D45),ISNUMBER(E45)),E45-D45,"")</x:f>
      </x:c>
      <x:c r="G45" s="69" t="str">
        <x:f>IF(AND(ISNUMBER(F45),ISNUMBER(E45),E45&gt;0),F45/E45,"")</x:f>
      </x:c>
      <x:c r="H45" s="67" t="n">
        <x:v>386765</x:v>
      </x:c>
      <x:c r="I45" s="67" t="n">
        <x:v>341.2</x:v>
      </x:c>
      <x:c r="J45" s="67" t="str">
        <x:v>https://tjgb.hongheiku.com/xjtjgb/xj2020/76398.html</x:v>
      </x:c>
      <x:c r="K45" s="67" t="str">
        <x:v>常住与户籍差是跨口径差额，不等于迁出人数；区县统计辖区、年份应复核。</x:v>
      </x:c>
    </x:row>
    <x:row r="46" ht="25" customHeight="1">
      <x:c r="A46" s="67" t="str">
        <x:v>赣州市</x:v>
      </x:c>
      <x:c r="B46" s="67" t="str">
        <x:v>大余县</x:v>
      </x:c>
      <x:c r="C46" s="67" t="str">
        <x:v>县</x:v>
      </x:c>
      <x:c r="D46" s="67"/>
      <x:c r="E46" s="67"/>
      <x:c r="F46" s="67" t="str">
        <x:f>IF(AND(ISNUMBER(D46),ISNUMBER(E46)),E46-D46,"")</x:f>
      </x:c>
      <x:c r="G46" s="69" t="str">
        <x:f>IF(AND(ISNUMBER(F46),ISNUMBER(E46),E46&gt;0),F46/E46,"")</x:f>
      </x:c>
      <x:c r="H46" s="67"/>
      <x:c r="I46" s="67"/>
      <x:c r="J46" s="67"/>
      <x:c r="K46" s="67" t="str">
        <x:v>常住与户籍差是跨口径差额，不等于迁出人数；区县统计辖区、年份应复核。</x:v>
      </x:c>
    </x:row>
    <x:row r="47" ht="25" customHeight="1">
      <x:c r="A47" s="67" t="str">
        <x:v>赣州市</x:v>
      </x:c>
      <x:c r="B47" s="67" t="str">
        <x:v>上犹县</x:v>
      </x:c>
      <x:c r="C47" s="67" t="str">
        <x:v>县</x:v>
      </x:c>
      <x:c r="D47" s="67"/>
      <x:c r="E47" s="67"/>
      <x:c r="F47" s="67" t="str">
        <x:f>IF(AND(ISNUMBER(D47),ISNUMBER(E47)),E47-D47,"")</x:f>
      </x:c>
      <x:c r="G47" s="69" t="str">
        <x:f>IF(AND(ISNUMBER(F47),ISNUMBER(E47),E47&gt;0),F47/E47,"")</x:f>
      </x:c>
      <x:c r="H47" s="67"/>
      <x:c r="I47" s="67"/>
      <x:c r="J47" s="67"/>
      <x:c r="K47" s="67" t="str">
        <x:v>常住与户籍差是跨口径差额，不等于迁出人数；区县统计辖区、年份应复核。</x:v>
      </x:c>
    </x:row>
    <x:row r="48" ht="25" customHeight="1">
      <x:c r="A48" s="67" t="str">
        <x:v>赣州市</x:v>
      </x:c>
      <x:c r="B48" s="67" t="str">
        <x:v>崇义县</x:v>
      </x:c>
      <x:c r="C48" s="67" t="str">
        <x:v>县</x:v>
      </x:c>
      <x:c r="D48" s="67" t="n">
        <x:v>175654</x:v>
      </x:c>
      <x:c r="E48" s="67" t="n">
        <x:v>209837</x:v>
      </x:c>
      <x:c r="F48" s="67" t="n">
        <x:f>IF(AND(ISNUMBER(D48),ISNUMBER(E48)),E48-D48,"")</x:f>
        <x:v>34183</x:v>
      </x:c>
      <x:c r="G48" s="69" t="n">
        <x:f>IF(AND(ISNUMBER(F48),ISNUMBER(E48),E48&gt;0),F48/E48,"")</x:f>
        <x:v>0.1629026339492082</x:v>
      </x:c>
      <x:c r="H48" s="67" t="n">
        <x:v>90977</x:v>
      </x:c>
      <x:c r="I48" s="67" t="n">
        <x:v>131.5</x:v>
      </x:c>
      <x:c r="J48" s="67" t="str">
        <x:v>https://tjgb.hongheiku.com/xjtjgb/xj2020/74335.html</x:v>
      </x:c>
      <x:c r="K48" s="67" t="str">
        <x:v>常住与户籍差是跨口径差额，不等于迁出人数；区县统计辖区、年份应复核。</x:v>
      </x:c>
    </x:row>
    <x:row r="49" ht="25" customHeight="1">
      <x:c r="A49" s="67" t="str">
        <x:v>赣州市</x:v>
      </x:c>
      <x:c r="B49" s="67" t="str">
        <x:v>安远县</x:v>
      </x:c>
      <x:c r="C49" s="67" t="str">
        <x:v>县</x:v>
      </x:c>
      <x:c r="D49" s="67"/>
      <x:c r="E49" s="67"/>
      <x:c r="F49" s="67" t="str">
        <x:f>IF(AND(ISNUMBER(D49),ISNUMBER(E49)),E49-D49,"")</x:f>
      </x:c>
      <x:c r="G49" s="69" t="str">
        <x:f>IF(AND(ISNUMBER(F49),ISNUMBER(E49),E49&gt;0),F49/E49,"")</x:f>
      </x:c>
      <x:c r="H49" s="67"/>
      <x:c r="I49" s="67"/>
      <x:c r="J49" s="67"/>
      <x:c r="K49" s="67" t="str">
        <x:v>常住与户籍差是跨口径差额，不等于迁出人数；区县统计辖区、年份应复核。</x:v>
      </x:c>
    </x:row>
    <x:row r="50" ht="25" customHeight="1">
      <x:c r="A50" s="67" t="str">
        <x:v>赣州市</x:v>
      </x:c>
      <x:c r="B50" s="67" t="str">
        <x:v>定南县</x:v>
      </x:c>
      <x:c r="C50" s="67" t="str">
        <x:v>县</x:v>
      </x:c>
      <x:c r="D50" s="67"/>
      <x:c r="E50" s="67"/>
      <x:c r="F50" s="67" t="str">
        <x:f>IF(AND(ISNUMBER(D50),ISNUMBER(E50)),E50-D50,"")</x:f>
      </x:c>
      <x:c r="G50" s="69" t="str">
        <x:f>IF(AND(ISNUMBER(F50),ISNUMBER(E50),E50&gt;0),F50/E50,"")</x:f>
      </x:c>
      <x:c r="H50" s="67"/>
      <x:c r="I50" s="67"/>
      <x:c r="J50" s="67"/>
      <x:c r="K50" s="67" t="str">
        <x:v>常住与户籍差是跨口径差额，不等于迁出人数；区县统计辖区、年份应复核。</x:v>
      </x:c>
    </x:row>
    <x:row r="51" ht="25" customHeight="1">
      <x:c r="A51" s="67" t="str">
        <x:v>赣州市</x:v>
      </x:c>
      <x:c r="B51" s="67" t="str">
        <x:v>全南县</x:v>
      </x:c>
      <x:c r="C51" s="67" t="str">
        <x:v>县</x:v>
      </x:c>
      <x:c r="D51" s="67"/>
      <x:c r="E51" s="67"/>
      <x:c r="F51" s="67" t="str">
        <x:f>IF(AND(ISNUMBER(D51),ISNUMBER(E51)),E51-D51,"")</x:f>
      </x:c>
      <x:c r="G51" s="69" t="str">
        <x:f>IF(AND(ISNUMBER(F51),ISNUMBER(E51),E51&gt;0),F51/E51,"")</x:f>
      </x:c>
      <x:c r="H51" s="67"/>
      <x:c r="I51" s="67"/>
      <x:c r="J51" s="67"/>
      <x:c r="K51" s="67" t="str">
        <x:v>常住与户籍差是跨口径差额，不等于迁出人数；区县统计辖区、年份应复核。</x:v>
      </x:c>
    </x:row>
    <x:row r="52" ht="25" customHeight="1">
      <x:c r="A52" s="67" t="str">
        <x:v>赣州市</x:v>
      </x:c>
      <x:c r="B52" s="67" t="str">
        <x:v>宁都县</x:v>
      </x:c>
      <x:c r="C52" s="67" t="str">
        <x:v>县</x:v>
      </x:c>
      <x:c r="D52" s="67"/>
      <x:c r="E52" s="67"/>
      <x:c r="F52" s="67" t="str">
        <x:f>IF(AND(ISNUMBER(D52),ISNUMBER(E52)),E52-D52,"")</x:f>
      </x:c>
      <x:c r="G52" s="69" t="str">
        <x:f>IF(AND(ISNUMBER(F52),ISNUMBER(E52),E52&gt;0),F52/E52,"")</x:f>
      </x:c>
      <x:c r="H52" s="67"/>
      <x:c r="I52" s="67"/>
      <x:c r="J52" s="67"/>
      <x:c r="K52" s="67" t="str">
        <x:v>常住与户籍差是跨口径差额，不等于迁出人数；区县统计辖区、年份应复核。</x:v>
      </x:c>
    </x:row>
    <x:row r="53" ht="25" customHeight="1">
      <x:c r="A53" s="67" t="str">
        <x:v>赣州市</x:v>
      </x:c>
      <x:c r="B53" s="67" t="str">
        <x:v>于都县</x:v>
      </x:c>
      <x:c r="C53" s="67" t="str">
        <x:v>县</x:v>
      </x:c>
      <x:c r="D53" s="67"/>
      <x:c r="E53" s="67"/>
      <x:c r="F53" s="67" t="str">
        <x:f>IF(AND(ISNUMBER(D53),ISNUMBER(E53)),E53-D53,"")</x:f>
      </x:c>
      <x:c r="G53" s="69" t="str">
        <x:f>IF(AND(ISNUMBER(F53),ISNUMBER(E53),E53&gt;0),F53/E53,"")</x:f>
      </x:c>
      <x:c r="H53" s="67"/>
      <x:c r="I53" s="67"/>
      <x:c r="J53" s="67"/>
      <x:c r="K53" s="67" t="str">
        <x:v>常住与户籍差是跨口径差额，不等于迁出人数；区县统计辖区、年份应复核。</x:v>
      </x:c>
    </x:row>
    <x:row r="54" ht="25" customHeight="1">
      <x:c r="A54" s="67" t="str">
        <x:v>赣州市</x:v>
      </x:c>
      <x:c r="B54" s="67" t="str">
        <x:v>兴国县</x:v>
      </x:c>
      <x:c r="C54" s="67" t="str">
        <x:v>县</x:v>
      </x:c>
      <x:c r="D54" s="67" t="n">
        <x:v>706344</x:v>
      </x:c>
      <x:c r="E54" s="67"/>
      <x:c r="F54" s="67" t="str">
        <x:f>IF(AND(ISNUMBER(D54),ISNUMBER(E54)),E54-D54,"")</x:f>
      </x:c>
      <x:c r="G54" s="69" t="str">
        <x:f>IF(AND(ISNUMBER(F54),ISNUMBER(E54),E54&gt;0),F54/E54,"")</x:f>
      </x:c>
      <x:c r="H54" s="67" t="n">
        <x:v>355637</x:v>
      </x:c>
      <x:c r="I54" s="67" t="n">
        <x:v>268.95</x:v>
      </x:c>
      <x:c r="J54" s="67" t="str">
        <x:v>https://tjgb.hongheiku.com/xjtjgb/xj2020/71515.html</x:v>
      </x:c>
      <x:c r="K54" s="67" t="str">
        <x:v>常住与户籍差是跨口径差额，不等于迁出人数；区县统计辖区、年份应复核。</x:v>
      </x:c>
    </x:row>
    <x:row r="55" ht="25" customHeight="1">
      <x:c r="A55" s="67" t="str">
        <x:v>赣州市</x:v>
      </x:c>
      <x:c r="B55" s="67" t="str">
        <x:v>会昌县</x:v>
      </x:c>
      <x:c r="C55" s="67" t="str">
        <x:v>县</x:v>
      </x:c>
      <x:c r="D55" s="67"/>
      <x:c r="E55" s="67"/>
      <x:c r="F55" s="67" t="str">
        <x:f>IF(AND(ISNUMBER(D55),ISNUMBER(E55)),E55-D55,"")</x:f>
      </x:c>
      <x:c r="G55" s="69" t="str">
        <x:f>IF(AND(ISNUMBER(F55),ISNUMBER(E55),E55&gt;0),F55/E55,"")</x:f>
      </x:c>
      <x:c r="H55" s="67"/>
      <x:c r="I55" s="67"/>
      <x:c r="J55" s="67"/>
      <x:c r="K55" s="67" t="str">
        <x:v>常住与户籍差是跨口径差额，不等于迁出人数；区县统计辖区、年份应复核。</x:v>
      </x:c>
    </x:row>
    <x:row r="56" ht="25" customHeight="1">
      <x:c r="A56" s="67" t="str">
        <x:v>赣州市</x:v>
      </x:c>
      <x:c r="B56" s="67" t="str">
        <x:v>寻乌县</x:v>
      </x:c>
      <x:c r="C56" s="67" t="str">
        <x:v>县</x:v>
      </x:c>
      <x:c r="D56" s="67"/>
      <x:c r="E56" s="67"/>
      <x:c r="F56" s="67" t="str">
        <x:f>IF(AND(ISNUMBER(D56),ISNUMBER(E56)),E56-D56,"")</x:f>
      </x:c>
      <x:c r="G56" s="69" t="str">
        <x:f>IF(AND(ISNUMBER(F56),ISNUMBER(E56),E56&gt;0),F56/E56,"")</x:f>
      </x:c>
      <x:c r="H56" s="67"/>
      <x:c r="I56" s="67"/>
      <x:c r="J56" s="67"/>
      <x:c r="K56" s="67" t="str">
        <x:v>常住与户籍差是跨口径差额，不等于迁出人数；区县统计辖区、年份应复核。</x:v>
      </x:c>
    </x:row>
    <x:row r="57" ht="25" customHeight="1">
      <x:c r="A57" s="67" t="str">
        <x:v>赣州市</x:v>
      </x:c>
      <x:c r="B57" s="67" t="str">
        <x:v>石城县</x:v>
      </x:c>
      <x:c r="C57" s="67" t="str">
        <x:v>县</x:v>
      </x:c>
      <x:c r="D57" s="67"/>
      <x:c r="E57" s="67"/>
      <x:c r="F57" s="67" t="str">
        <x:f>IF(AND(ISNUMBER(D57),ISNUMBER(E57)),E57-D57,"")</x:f>
      </x:c>
      <x:c r="G57" s="69" t="str">
        <x:f>IF(AND(ISNUMBER(F57),ISNUMBER(E57),E57&gt;0),F57/E57,"")</x:f>
      </x:c>
      <x:c r="H57" s="67"/>
      <x:c r="I57" s="67"/>
      <x:c r="J57" s="67"/>
      <x:c r="K57" s="67" t="str">
        <x:v>常住与户籍差是跨口径差额，不等于迁出人数；区县统计辖区、年份应复核。</x:v>
      </x:c>
    </x:row>
    <x:row r="58" ht="25" customHeight="1">
      <x:c r="A58" s="67" t="str">
        <x:v>吉安市</x:v>
      </x:c>
      <x:c r="B58" s="67" t="str">
        <x:v>吉州区</x:v>
      </x:c>
      <x:c r="C58" s="67" t="str">
        <x:v>区</x:v>
      </x:c>
      <x:c r="D58" s="67"/>
      <x:c r="E58" s="67"/>
      <x:c r="F58" s="67" t="str">
        <x:f>IF(AND(ISNUMBER(D58),ISNUMBER(E58)),E58-D58,"")</x:f>
      </x:c>
      <x:c r="G58" s="69" t="str">
        <x:f>IF(AND(ISNUMBER(F58),ISNUMBER(E58),E58&gt;0),F58/E58,"")</x:f>
      </x:c>
      <x:c r="H58" s="67"/>
      <x:c r="I58" s="67"/>
      <x:c r="J58" s="67"/>
      <x:c r="K58" s="67" t="str">
        <x:v>常住与户籍差是跨口径差额，不等于迁出人数；区县统计辖区、年份应复核。</x:v>
      </x:c>
    </x:row>
    <x:row r="59" ht="25" customHeight="1">
      <x:c r="A59" s="67" t="str">
        <x:v>吉安市</x:v>
      </x:c>
      <x:c r="B59" s="67" t="str">
        <x:v>青原区</x:v>
      </x:c>
      <x:c r="C59" s="67" t="str">
        <x:v>区</x:v>
      </x:c>
      <x:c r="D59" s="67"/>
      <x:c r="E59" s="67"/>
      <x:c r="F59" s="67" t="str">
        <x:f>IF(AND(ISNUMBER(D59),ISNUMBER(E59)),E59-D59,"")</x:f>
      </x:c>
      <x:c r="G59" s="69" t="str">
        <x:f>IF(AND(ISNUMBER(F59),ISNUMBER(E59),E59&gt;0),F59/E59,"")</x:f>
      </x:c>
      <x:c r="H59" s="67"/>
      <x:c r="I59" s="67"/>
      <x:c r="J59" s="67"/>
      <x:c r="K59" s="67" t="str">
        <x:v>常住与户籍差是跨口径差额，不等于迁出人数；区县统计辖区、年份应复核。</x:v>
      </x:c>
    </x:row>
    <x:row r="60" ht="25" customHeight="1">
      <x:c r="A60" s="67" t="str">
        <x:v>吉安市</x:v>
      </x:c>
      <x:c r="B60" s="67" t="str">
        <x:v>井冈山市</x:v>
      </x:c>
      <x:c r="C60" s="67" t="str">
        <x:v>县级市</x:v>
      </x:c>
      <x:c r="D60" s="67"/>
      <x:c r="E60" s="67"/>
      <x:c r="F60" s="67" t="str">
        <x:f>IF(AND(ISNUMBER(D60),ISNUMBER(E60)),E60-D60,"")</x:f>
      </x:c>
      <x:c r="G60" s="69" t="str">
        <x:f>IF(AND(ISNUMBER(F60),ISNUMBER(E60),E60&gt;0),F60/E60,"")</x:f>
      </x:c>
      <x:c r="H60" s="67"/>
      <x:c r="I60" s="67"/>
      <x:c r="J60" s="67"/>
      <x:c r="K60" s="67" t="str">
        <x:v>常住与户籍差是跨口径差额，不等于迁出人数；区县统计辖区、年份应复核。</x:v>
      </x:c>
    </x:row>
    <x:row r="61" ht="25" customHeight="1">
      <x:c r="A61" s="67" t="str">
        <x:v>吉安市</x:v>
      </x:c>
      <x:c r="B61" s="67" t="str">
        <x:v>吉安县</x:v>
      </x:c>
      <x:c r="C61" s="67" t="str">
        <x:v>县</x:v>
      </x:c>
      <x:c r="D61" s="67" t="n">
        <x:v>390725</x:v>
      </x:c>
      <x:c r="E61" s="67" t="n">
        <x:v>500714</x:v>
      </x:c>
      <x:c r="F61" s="67" t="n">
        <x:f>IF(AND(ISNUMBER(D61),ISNUMBER(E61)),E61-D61,"")</x:f>
        <x:v>109989</x:v>
      </x:c>
      <x:c r="G61" s="69" t="n">
        <x:f>IF(AND(ISNUMBER(F61),ISNUMBER(E61),E61&gt;0),F61/E61,"")</x:f>
        <x:v>0.2196643193519654</x:v>
      </x:c>
      <x:c r="H61" s="67" t="n">
        <x:v>195326</x:v>
      </x:c>
      <x:c r="I61" s="67" t="n">
        <x:v>278.0932</x:v>
      </x:c>
      <x:c r="J61" s="67" t="str">
        <x:v>https://maptable.com/tjgb/2025/%E5%90%89%E5%AE%89%E5%B8%82/%E5%90%89%E5%AE%89%E5%8E%BF/report/ji-an-shi-ji-an-xian-2025-nian-guo-min-jing-ji-he-she-hui-fa-zhan-tong-ji-gong-bao</x:v>
      </x:c>
      <x:c r="K61" s="67" t="str">
        <x:v>常住与户籍差是跨口径差额，不等于迁出人数；区县统计辖区、年份应复核。</x:v>
      </x:c>
    </x:row>
    <x:row r="62" ht="25" customHeight="1">
      <x:c r="A62" s="67" t="str">
        <x:v>吉安市</x:v>
      </x:c>
      <x:c r="B62" s="67" t="str">
        <x:v>吉水县</x:v>
      </x:c>
      <x:c r="C62" s="67" t="str">
        <x:v>县</x:v>
      </x:c>
      <x:c r="D62" s="67"/>
      <x:c r="E62" s="67"/>
      <x:c r="F62" s="67" t="str">
        <x:f>IF(AND(ISNUMBER(D62),ISNUMBER(E62)),E62-D62,"")</x:f>
      </x:c>
      <x:c r="G62" s="69" t="str">
        <x:f>IF(AND(ISNUMBER(F62),ISNUMBER(E62),E62&gt;0),F62/E62,"")</x:f>
      </x:c>
      <x:c r="H62" s="67"/>
      <x:c r="I62" s="67"/>
      <x:c r="J62" s="67"/>
      <x:c r="K62" s="67" t="str">
        <x:v>常住与户籍差是跨口径差额，不等于迁出人数；区县统计辖区、年份应复核。</x:v>
      </x:c>
    </x:row>
    <x:row r="63" ht="25" customHeight="1">
      <x:c r="A63" s="67" t="str">
        <x:v>吉安市</x:v>
      </x:c>
      <x:c r="B63" s="67" t="str">
        <x:v>峡江县</x:v>
      </x:c>
      <x:c r="C63" s="67" t="str">
        <x:v>县</x:v>
      </x:c>
      <x:c r="D63" s="67" t="n">
        <x:v>142688</x:v>
      </x:c>
      <x:c r="E63" s="67" t="n">
        <x:v>187997</x:v>
      </x:c>
      <x:c r="F63" s="67" t="n">
        <x:f>IF(AND(ISNUMBER(D63),ISNUMBER(E63)),E63-D63,"")</x:f>
        <x:v>45309</x:v>
      </x:c>
      <x:c r="G63" s="69" t="n">
        <x:f>IF(AND(ISNUMBER(F63),ISNUMBER(E63),E63&gt;0),F63/E63,"")</x:f>
        <x:v>0.24100916503986766</x:v>
      </x:c>
      <x:c r="H63" s="67" t="n">
        <x:v>76554</x:v>
      </x:c>
      <x:c r="I63" s="67" t="n">
        <x:v>119.64</x:v>
      </x:c>
      <x:c r="J63" s="67" t="str">
        <x:v>https://tjgb.hongheiku.com/xjtjgb/xj2020/73609.html</x:v>
      </x:c>
      <x:c r="K63" s="67" t="str">
        <x:v>常住与户籍差是跨口径差额，不等于迁出人数；区县统计辖区、年份应复核。</x:v>
      </x:c>
    </x:row>
    <x:row r="64" ht="25" customHeight="1">
      <x:c r="A64" s="67" t="str">
        <x:v>吉安市</x:v>
      </x:c>
      <x:c r="B64" s="67" t="str">
        <x:v>新干县</x:v>
      </x:c>
      <x:c r="C64" s="67" t="str">
        <x:v>县</x:v>
      </x:c>
      <x:c r="D64" s="67"/>
      <x:c r="E64" s="67"/>
      <x:c r="F64" s="67" t="str">
        <x:f>IF(AND(ISNUMBER(D64),ISNUMBER(E64)),E64-D64,"")</x:f>
      </x:c>
      <x:c r="G64" s="69" t="str">
        <x:f>IF(AND(ISNUMBER(F64),ISNUMBER(E64),E64&gt;0),F64/E64,"")</x:f>
      </x:c>
      <x:c r="H64" s="67"/>
      <x:c r="I64" s="67"/>
      <x:c r="J64" s="67"/>
      <x:c r="K64" s="67" t="str">
        <x:v>常住与户籍差是跨口径差额，不等于迁出人数；区县统计辖区、年份应复核。</x:v>
      </x:c>
    </x:row>
    <x:row r="65" ht="25" customHeight="1">
      <x:c r="A65" s="67" t="str">
        <x:v>吉安市</x:v>
      </x:c>
      <x:c r="B65" s="67" t="str">
        <x:v>永丰县</x:v>
      </x:c>
      <x:c r="C65" s="67" t="str">
        <x:v>县</x:v>
      </x:c>
      <x:c r="D65" s="67" t="n">
        <x:v>367555</x:v>
      </x:c>
      <x:c r="E65" s="67" t="n">
        <x:v>492476</x:v>
      </x:c>
      <x:c r="F65" s="67" t="n">
        <x:f>IF(AND(ISNUMBER(D65),ISNUMBER(E65)),E65-D65,"")</x:f>
        <x:v>124921</x:v>
      </x:c>
      <x:c r="G65" s="69" t="n">
        <x:f>IF(AND(ISNUMBER(F65),ISNUMBER(E65),E65&gt;0),F65/E65,"")</x:f>
        <x:v>0.25365906155832973</x:v>
      </x:c>
      <x:c r="H65" s="67"/>
      <x:c r="I65" s="67" t="n">
        <x:v>251.65</x:v>
      </x:c>
      <x:c r="J65" s="67" t="str">
        <x:v>https://maptable.com/tjgb/2025/%E5%90%89%E5%AE%89%E5%B8%82/%E6%B0%B8%E4%B8%B0%E5%8E%BF/report/ji-an-shi-yong-feng-xian-2025-nian-guo-min-jing-ji-he-she-hui-fa-zhan-tong-ji-gong-bao-2</x:v>
      </x:c>
      <x:c r="K65" s="67" t="str">
        <x:v>常住与户籍差是跨口径差额，不等于迁出人数；区县统计辖区、年份应复核。</x:v>
      </x:c>
    </x:row>
    <x:row r="66" ht="25" customHeight="1">
      <x:c r="A66" s="67" t="str">
        <x:v>吉安市</x:v>
      </x:c>
      <x:c r="B66" s="67" t="str">
        <x:v>泰和县</x:v>
      </x:c>
      <x:c r="C66" s="67" t="str">
        <x:v>县</x:v>
      </x:c>
      <x:c r="D66" s="67" t="n">
        <x:v>437914</x:v>
      </x:c>
      <x:c r="E66" s="67" t="n">
        <x:v>570046</x:v>
      </x:c>
      <x:c r="F66" s="67" t="n">
        <x:f>IF(AND(ISNUMBER(D66),ISNUMBER(E66)),E66-D66,"")</x:f>
        <x:v>132132</x:v>
      </x:c>
      <x:c r="G66" s="69" t="n">
        <x:f>IF(AND(ISNUMBER(F66),ISNUMBER(E66),E66&gt;0),F66/E66,"")</x:f>
        <x:v>0.2317918203092382</x:v>
      </x:c>
      <x:c r="H66" s="67" t="n">
        <x:v>239968</x:v>
      </x:c>
      <x:c r="I66" s="67" t="n">
        <x:v>264.01</x:v>
      </x:c>
      <x:c r="J66" s="67" t="str">
        <x:v>https://tjgb.hongheiku.com/xjtjgb/xj2020/70172.html</x:v>
      </x:c>
      <x:c r="K66" s="67" t="str">
        <x:v>常住与户籍差是跨口径差额，不等于迁出人数；区县统计辖区、年份应复核。</x:v>
      </x:c>
    </x:row>
    <x:row r="67" ht="25" customHeight="1">
      <x:c r="A67" s="67" t="str">
        <x:v>吉安市</x:v>
      </x:c>
      <x:c r="B67" s="67" t="str">
        <x:v>遂川县</x:v>
      </x:c>
      <x:c r="C67" s="67" t="str">
        <x:v>县</x:v>
      </x:c>
      <x:c r="D67" s="67"/>
      <x:c r="E67" s="67"/>
      <x:c r="F67" s="67" t="str">
        <x:f>IF(AND(ISNUMBER(D67),ISNUMBER(E67)),E67-D67,"")</x:f>
      </x:c>
      <x:c r="G67" s="69" t="str">
        <x:f>IF(AND(ISNUMBER(F67),ISNUMBER(E67),E67&gt;0),F67/E67,"")</x:f>
      </x:c>
      <x:c r="H67" s="67"/>
      <x:c r="I67" s="67"/>
      <x:c r="J67" s="67"/>
      <x:c r="K67" s="67" t="str">
        <x:v>常住与户籍差是跨口径差额，不等于迁出人数；区县统计辖区、年份应复核。</x:v>
      </x:c>
    </x:row>
    <x:row r="68" ht="25" customHeight="1">
      <x:c r="A68" s="67" t="str">
        <x:v>吉安市</x:v>
      </x:c>
      <x:c r="B68" s="67" t="str">
        <x:v>万安县</x:v>
      </x:c>
      <x:c r="C68" s="67" t="str">
        <x:v>县</x:v>
      </x:c>
      <x:c r="D68" s="67"/>
      <x:c r="E68" s="67"/>
      <x:c r="F68" s="67" t="str">
        <x:f>IF(AND(ISNUMBER(D68),ISNUMBER(E68)),E68-D68,"")</x:f>
      </x:c>
      <x:c r="G68" s="69" t="str">
        <x:f>IF(AND(ISNUMBER(F68),ISNUMBER(E68),E68&gt;0),F68/E68,"")</x:f>
      </x:c>
      <x:c r="H68" s="67"/>
      <x:c r="I68" s="67"/>
      <x:c r="J68" s="67"/>
      <x:c r="K68" s="67" t="str">
        <x:v>常住与户籍差是跨口径差额，不等于迁出人数；区县统计辖区、年份应复核。</x:v>
      </x:c>
    </x:row>
    <x:row r="69" ht="25" customHeight="1">
      <x:c r="A69" s="67" t="str">
        <x:v>吉安市</x:v>
      </x:c>
      <x:c r="B69" s="67" t="str">
        <x:v>安福县</x:v>
      </x:c>
      <x:c r="C69" s="67" t="str">
        <x:v>县</x:v>
      </x:c>
      <x:c r="D69" s="67"/>
      <x:c r="E69" s="67"/>
      <x:c r="F69" s="67" t="str">
        <x:f>IF(AND(ISNUMBER(D69),ISNUMBER(E69)),E69-D69,"")</x:f>
      </x:c>
      <x:c r="G69" s="69" t="str">
        <x:f>IF(AND(ISNUMBER(F69),ISNUMBER(E69),E69&gt;0),F69/E69,"")</x:f>
      </x:c>
      <x:c r="H69" s="67"/>
      <x:c r="I69" s="67"/>
      <x:c r="J69" s="67"/>
      <x:c r="K69" s="67" t="str">
        <x:v>常住与户籍差是跨口径差额，不等于迁出人数；区县统计辖区、年份应复核。</x:v>
      </x:c>
    </x:row>
    <x:row r="70" ht="25" customHeight="1">
      <x:c r="A70" s="67" t="str">
        <x:v>吉安市</x:v>
      </x:c>
      <x:c r="B70" s="67" t="str">
        <x:v>永新县</x:v>
      </x:c>
      <x:c r="C70" s="67" t="str">
        <x:v>县</x:v>
      </x:c>
      <x:c r="D70" s="67"/>
      <x:c r="E70" s="67"/>
      <x:c r="F70" s="67" t="str">
        <x:f>IF(AND(ISNUMBER(D70),ISNUMBER(E70)),E70-D70,"")</x:f>
      </x:c>
      <x:c r="G70" s="69" t="str">
        <x:f>IF(AND(ISNUMBER(F70),ISNUMBER(E70),E70&gt;0),F70/E70,"")</x:f>
      </x:c>
      <x:c r="H70" s="67"/>
      <x:c r="I70" s="67"/>
      <x:c r="J70" s="67"/>
      <x:c r="K70" s="67" t="str">
        <x:v>常住与户籍差是跨口径差额，不等于迁出人数；区县统计辖区、年份应复核。</x:v>
      </x:c>
    </x:row>
    <x:row r="71" ht="25" customHeight="1">
      <x:c r="A71" s="67" t="str">
        <x:v>宜春市</x:v>
      </x:c>
      <x:c r="B71" s="67" t="str">
        <x:v>袁州区</x:v>
      </x:c>
      <x:c r="C71" s="67" t="str">
        <x:v>区</x:v>
      </x:c>
      <x:c r="D71" s="67"/>
      <x:c r="E71" s="67"/>
      <x:c r="F71" s="67" t="str">
        <x:f>IF(AND(ISNUMBER(D71),ISNUMBER(E71)),E71-D71,"")</x:f>
      </x:c>
      <x:c r="G71" s="69" t="str">
        <x:f>IF(AND(ISNUMBER(F71),ISNUMBER(E71),E71&gt;0),F71/E71,"")</x:f>
      </x:c>
      <x:c r="H71" s="67"/>
      <x:c r="I71" s="67"/>
      <x:c r="J71" s="67"/>
      <x:c r="K71" s="67" t="str">
        <x:v>常住与户籍差是跨口径差额，不等于迁出人数；区县统计辖区、年份应复核。</x:v>
      </x:c>
    </x:row>
    <x:row r="72" ht="25" customHeight="1">
      <x:c r="A72" s="67" t="str">
        <x:v>宜春市</x:v>
      </x:c>
      <x:c r="B72" s="67" t="str">
        <x:v>丰城市</x:v>
      </x:c>
      <x:c r="C72" s="67" t="str">
        <x:v>县级市</x:v>
      </x:c>
      <x:c r="D72" s="67"/>
      <x:c r="E72" s="67"/>
      <x:c r="F72" s="67" t="str">
        <x:f>IF(AND(ISNUMBER(D72),ISNUMBER(E72)),E72-D72,"")</x:f>
      </x:c>
      <x:c r="G72" s="69" t="str">
        <x:f>IF(AND(ISNUMBER(F72),ISNUMBER(E72),E72&gt;0),F72/E72,"")</x:f>
      </x:c>
      <x:c r="H72" s="67"/>
      <x:c r="I72" s="67"/>
      <x:c r="J72" s="67"/>
      <x:c r="K72" s="67" t="str">
        <x:v>常住与户籍差是跨口径差额，不等于迁出人数；区县统计辖区、年份应复核。</x:v>
      </x:c>
    </x:row>
    <x:row r="73" ht="25" customHeight="1">
      <x:c r="A73" s="67" t="str">
        <x:v>宜春市</x:v>
      </x:c>
      <x:c r="B73" s="67" t="str">
        <x:v>樟树市</x:v>
      </x:c>
      <x:c r="C73" s="67" t="str">
        <x:v>县级市</x:v>
      </x:c>
      <x:c r="D73" s="67"/>
      <x:c r="E73" s="67"/>
      <x:c r="F73" s="67" t="str">
        <x:f>IF(AND(ISNUMBER(D73),ISNUMBER(E73)),E73-D73,"")</x:f>
      </x:c>
      <x:c r="G73" s="69" t="str">
        <x:f>IF(AND(ISNUMBER(F73),ISNUMBER(E73),E73&gt;0),F73/E73,"")</x:f>
      </x:c>
      <x:c r="H73" s="67"/>
      <x:c r="I73" s="67"/>
      <x:c r="J73" s="67"/>
      <x:c r="K73" s="67" t="str">
        <x:v>常住与户籍差是跨口径差额，不等于迁出人数；区县统计辖区、年份应复核。</x:v>
      </x:c>
    </x:row>
    <x:row r="74" ht="25" customHeight="1">
      <x:c r="A74" s="67" t="str">
        <x:v>宜春市</x:v>
      </x:c>
      <x:c r="B74" s="67" t="str">
        <x:v>高安市</x:v>
      </x:c>
      <x:c r="C74" s="67" t="str">
        <x:v>县级市</x:v>
      </x:c>
      <x:c r="D74" s="67"/>
      <x:c r="E74" s="67"/>
      <x:c r="F74" s="67" t="str">
        <x:f>IF(AND(ISNUMBER(D74),ISNUMBER(E74)),E74-D74,"")</x:f>
      </x:c>
      <x:c r="G74" s="69" t="str">
        <x:f>IF(AND(ISNUMBER(F74),ISNUMBER(E74),E74&gt;0),F74/E74,"")</x:f>
      </x:c>
      <x:c r="H74" s="67"/>
      <x:c r="I74" s="67"/>
      <x:c r="J74" s="67"/>
      <x:c r="K74" s="67" t="str">
        <x:v>常住与户籍差是跨口径差额，不等于迁出人数；区县统计辖区、年份应复核。</x:v>
      </x:c>
    </x:row>
    <x:row r="75" ht="25" customHeight="1">
      <x:c r="A75" s="67" t="str">
        <x:v>宜春市</x:v>
      </x:c>
      <x:c r="B75" s="67" t="str">
        <x:v>奉新县</x:v>
      </x:c>
      <x:c r="C75" s="67" t="str">
        <x:v>县</x:v>
      </x:c>
      <x:c r="D75" s="67" t="n">
        <x:v>255823</x:v>
      </x:c>
      <x:c r="E75" s="67" t="n">
        <x:v>326894</x:v>
      </x:c>
      <x:c r="F75" s="67" t="n">
        <x:f>IF(AND(ISNUMBER(D75),ISNUMBER(E75)),E75-D75,"")</x:f>
        <x:v>71071</x:v>
      </x:c>
      <x:c r="G75" s="69" t="n">
        <x:f>IF(AND(ISNUMBER(F75),ISNUMBER(E75),E75&gt;0),F75/E75,"")</x:f>
        <x:v>0.21741298402540274</x:v>
      </x:c>
      <x:c r="H75" s="67" t="n">
        <x:v>164095</x:v>
      </x:c>
      <x:c r="I75" s="67" t="n">
        <x:v>274.2771</x:v>
      </x:c>
      <x:c r="J75" s="67" t="str">
        <x:v>https://tjgb.hongheiku.com/xjtjgb/xj2020/79426.html</x:v>
      </x:c>
      <x:c r="K75" s="67" t="str">
        <x:v>常住与户籍差是跨口径差额，不等于迁出人数；区县统计辖区、年份应复核。</x:v>
      </x:c>
    </x:row>
    <x:row r="76" ht="25" customHeight="1">
      <x:c r="A76" s="67" t="str">
        <x:v>宜春市</x:v>
      </x:c>
      <x:c r="B76" s="67" t="str">
        <x:v>万载县</x:v>
      </x:c>
      <x:c r="C76" s="67" t="str">
        <x:v>县</x:v>
      </x:c>
      <x:c r="D76" s="67"/>
      <x:c r="E76" s="67"/>
      <x:c r="F76" s="67" t="str">
        <x:f>IF(AND(ISNUMBER(D76),ISNUMBER(E76)),E76-D76,"")</x:f>
      </x:c>
      <x:c r="G76" s="69" t="str">
        <x:f>IF(AND(ISNUMBER(F76),ISNUMBER(E76),E76&gt;0),F76/E76,"")</x:f>
      </x:c>
      <x:c r="H76" s="67"/>
      <x:c r="I76" s="67"/>
      <x:c r="J76" s="67"/>
      <x:c r="K76" s="67" t="str">
        <x:v>常住与户籍差是跨口径差额，不等于迁出人数；区县统计辖区、年份应复核。</x:v>
      </x:c>
    </x:row>
    <x:row r="77" ht="25" customHeight="1">
      <x:c r="A77" s="67" t="str">
        <x:v>宜春市</x:v>
      </x:c>
      <x:c r="B77" s="67" t="str">
        <x:v>上高县</x:v>
      </x:c>
      <x:c r="C77" s="67" t="str">
        <x:v>县</x:v>
      </x:c>
      <x:c r="D77" s="67"/>
      <x:c r="E77" s="67"/>
      <x:c r="F77" s="67" t="str">
        <x:f>IF(AND(ISNUMBER(D77),ISNUMBER(E77)),E77-D77,"")</x:f>
      </x:c>
      <x:c r="G77" s="69" t="str">
        <x:f>IF(AND(ISNUMBER(F77),ISNUMBER(E77),E77&gt;0),F77/E77,"")</x:f>
      </x:c>
      <x:c r="H77" s="67"/>
      <x:c r="I77" s="67"/>
      <x:c r="J77" s="67"/>
      <x:c r="K77" s="67" t="str">
        <x:v>常住与户籍差是跨口径差额，不等于迁出人数；区县统计辖区、年份应复核。</x:v>
      </x:c>
    </x:row>
    <x:row r="78" ht="25" customHeight="1">
      <x:c r="A78" s="67" t="str">
        <x:v>宜春市</x:v>
      </x:c>
      <x:c r="B78" s="67" t="str">
        <x:v>宜丰县</x:v>
      </x:c>
      <x:c r="C78" s="67" t="str">
        <x:v>县</x:v>
      </x:c>
      <x:c r="D78" s="67"/>
      <x:c r="E78" s="67"/>
      <x:c r="F78" s="67" t="str">
        <x:f>IF(AND(ISNUMBER(D78),ISNUMBER(E78)),E78-D78,"")</x:f>
      </x:c>
      <x:c r="G78" s="69" t="str">
        <x:f>IF(AND(ISNUMBER(F78),ISNUMBER(E78),E78&gt;0),F78/E78,"")</x:f>
      </x:c>
      <x:c r="H78" s="67"/>
      <x:c r="I78" s="67"/>
      <x:c r="J78" s="67"/>
      <x:c r="K78" s="67" t="str">
        <x:v>常住与户籍差是跨口径差额，不等于迁出人数；区县统计辖区、年份应复核。</x:v>
      </x:c>
    </x:row>
    <x:row r="79" ht="25" customHeight="1">
      <x:c r="A79" s="67" t="str">
        <x:v>宜春市</x:v>
      </x:c>
      <x:c r="B79" s="67" t="str">
        <x:v>靖安县</x:v>
      </x:c>
      <x:c r="C79" s="67" t="str">
        <x:v>县</x:v>
      </x:c>
      <x:c r="D79" s="67"/>
      <x:c r="E79" s="67"/>
      <x:c r="F79" s="67" t="str">
        <x:f>IF(AND(ISNUMBER(D79),ISNUMBER(E79)),E79-D79,"")</x:f>
      </x:c>
      <x:c r="G79" s="69" t="str">
        <x:f>IF(AND(ISNUMBER(F79),ISNUMBER(E79),E79&gt;0),F79/E79,"")</x:f>
      </x:c>
      <x:c r="H79" s="67"/>
      <x:c r="I79" s="67"/>
      <x:c r="J79" s="67"/>
      <x:c r="K79" s="67" t="str">
        <x:v>常住与户籍差是跨口径差额，不等于迁出人数；区县统计辖区、年份应复核。</x:v>
      </x:c>
    </x:row>
    <x:row r="80" ht="25" customHeight="1">
      <x:c r="A80" s="67" t="str">
        <x:v>宜春市</x:v>
      </x:c>
      <x:c r="B80" s="67" t="str">
        <x:v>铜鼓县</x:v>
      </x:c>
      <x:c r="C80" s="67" t="str">
        <x:v>县</x:v>
      </x:c>
      <x:c r="D80" s="67"/>
      <x:c r="E80" s="67"/>
      <x:c r="F80" s="67" t="str">
        <x:f>IF(AND(ISNUMBER(D80),ISNUMBER(E80)),E80-D80,"")</x:f>
      </x:c>
      <x:c r="G80" s="69" t="str">
        <x:f>IF(AND(ISNUMBER(F80),ISNUMBER(E80),E80&gt;0),F80/E80,"")</x:f>
      </x:c>
      <x:c r="H80" s="67"/>
      <x:c r="I80" s="67"/>
      <x:c r="J80" s="67"/>
      <x:c r="K80" s="67" t="str">
        <x:v>常住与户籍差是跨口径差额，不等于迁出人数；区县统计辖区、年份应复核。</x:v>
      </x:c>
    </x:row>
    <x:row r="81" ht="25" customHeight="1">
      <x:c r="A81" s="67" t="str">
        <x:v>抚州市</x:v>
      </x:c>
      <x:c r="B81" s="67" t="str">
        <x:v>临川区</x:v>
      </x:c>
      <x:c r="C81" s="67" t="str">
        <x:v>区</x:v>
      </x:c>
      <x:c r="D81" s="67"/>
      <x:c r="E81" s="67"/>
      <x:c r="F81" s="67" t="str">
        <x:f>IF(AND(ISNUMBER(D81),ISNUMBER(E81)),E81-D81,"")</x:f>
      </x:c>
      <x:c r="G81" s="69" t="str">
        <x:f>IF(AND(ISNUMBER(F81),ISNUMBER(E81),E81&gt;0),F81/E81,"")</x:f>
      </x:c>
      <x:c r="H81" s="67"/>
      <x:c r="I81" s="67"/>
      <x:c r="J81" s="67"/>
      <x:c r="K81" s="67" t="str">
        <x:v>常住与户籍差是跨口径差额，不等于迁出人数；区县统计辖区、年份应复核。</x:v>
      </x:c>
    </x:row>
    <x:row r="82" ht="25" customHeight="1">
      <x:c r="A82" s="67" t="str">
        <x:v>抚州市</x:v>
      </x:c>
      <x:c r="B82" s="67" t="str">
        <x:v>东乡区</x:v>
      </x:c>
      <x:c r="C82" s="67" t="str">
        <x:v>区</x:v>
      </x:c>
      <x:c r="D82" s="67"/>
      <x:c r="E82" s="67"/>
      <x:c r="F82" s="67" t="str">
        <x:f>IF(AND(ISNUMBER(D82),ISNUMBER(E82)),E82-D82,"")</x:f>
      </x:c>
      <x:c r="G82" s="69" t="str">
        <x:f>IF(AND(ISNUMBER(F82),ISNUMBER(E82),E82&gt;0),F82/E82,"")</x:f>
      </x:c>
      <x:c r="H82" s="67"/>
      <x:c r="I82" s="67"/>
      <x:c r="J82" s="67"/>
      <x:c r="K82" s="67" t="str">
        <x:v>常住与户籍差是跨口径差额，不等于迁出人数；区县统计辖区、年份应复核。</x:v>
      </x:c>
    </x:row>
    <x:row r="83" ht="25" customHeight="1">
      <x:c r="A83" s="67" t="str">
        <x:v>抚州市</x:v>
      </x:c>
      <x:c r="B83" s="67" t="str">
        <x:v>南城县</x:v>
      </x:c>
      <x:c r="C83" s="67" t="str">
        <x:v>县</x:v>
      </x:c>
      <x:c r="D83" s="67"/>
      <x:c r="E83" s="67"/>
      <x:c r="F83" s="67" t="str">
        <x:f>IF(AND(ISNUMBER(D83),ISNUMBER(E83)),E83-D83,"")</x:f>
      </x:c>
      <x:c r="G83" s="69" t="str">
        <x:f>IF(AND(ISNUMBER(F83),ISNUMBER(E83),E83&gt;0),F83/E83,"")</x:f>
      </x:c>
      <x:c r="H83" s="67"/>
      <x:c r="I83" s="67"/>
      <x:c r="J83" s="67"/>
      <x:c r="K83" s="67" t="str">
        <x:v>常住与户籍差是跨口径差额，不等于迁出人数；区县统计辖区、年份应复核。</x:v>
      </x:c>
    </x:row>
    <x:row r="84" ht="25" customHeight="1">
      <x:c r="A84" s="67" t="str">
        <x:v>抚州市</x:v>
      </x:c>
      <x:c r="B84" s="67" t="str">
        <x:v>黎川县</x:v>
      </x:c>
      <x:c r="C84" s="67" t="str">
        <x:v>县</x:v>
      </x:c>
      <x:c r="D84" s="67"/>
      <x:c r="E84" s="67"/>
      <x:c r="F84" s="67" t="str">
        <x:f>IF(AND(ISNUMBER(D84),ISNUMBER(E84)),E84-D84,"")</x:f>
      </x:c>
      <x:c r="G84" s="69" t="str">
        <x:f>IF(AND(ISNUMBER(F84),ISNUMBER(E84),E84&gt;0),F84/E84,"")</x:f>
      </x:c>
      <x:c r="H84" s="67"/>
      <x:c r="I84" s="67"/>
      <x:c r="J84" s="67"/>
      <x:c r="K84" s="67" t="str">
        <x:v>常住与户籍差是跨口径差额，不等于迁出人数；区县统计辖区、年份应复核。</x:v>
      </x:c>
    </x:row>
    <x:row r="85" ht="25" customHeight="1">
      <x:c r="A85" s="67" t="str">
        <x:v>抚州市</x:v>
      </x:c>
      <x:c r="B85" s="67" t="str">
        <x:v>南丰县</x:v>
      </x:c>
      <x:c r="C85" s="67" t="str">
        <x:v>县</x:v>
      </x:c>
      <x:c r="D85" s="67"/>
      <x:c r="E85" s="67"/>
      <x:c r="F85" s="67" t="str">
        <x:f>IF(AND(ISNUMBER(D85),ISNUMBER(E85)),E85-D85,"")</x:f>
      </x:c>
      <x:c r="G85" s="69" t="str">
        <x:f>IF(AND(ISNUMBER(F85),ISNUMBER(E85),E85&gt;0),F85/E85,"")</x:f>
      </x:c>
      <x:c r="H85" s="67"/>
      <x:c r="I85" s="67"/>
      <x:c r="J85" s="67"/>
      <x:c r="K85" s="67" t="str">
        <x:v>常住与户籍差是跨口径差额，不等于迁出人数；区县统计辖区、年份应复核。</x:v>
      </x:c>
    </x:row>
    <x:row r="86" ht="25" customHeight="1">
      <x:c r="A86" s="67" t="str">
        <x:v>抚州市</x:v>
      </x:c>
      <x:c r="B86" s="67" t="str">
        <x:v>崇仁县</x:v>
      </x:c>
      <x:c r="C86" s="67" t="str">
        <x:v>县</x:v>
      </x:c>
      <x:c r="D86" s="67"/>
      <x:c r="E86" s="67"/>
      <x:c r="F86" s="67" t="str">
        <x:f>IF(AND(ISNUMBER(D86),ISNUMBER(E86)),E86-D86,"")</x:f>
      </x:c>
      <x:c r="G86" s="69" t="str">
        <x:f>IF(AND(ISNUMBER(F86),ISNUMBER(E86),E86&gt;0),F86/E86,"")</x:f>
      </x:c>
      <x:c r="H86" s="67"/>
      <x:c r="I86" s="67"/>
      <x:c r="J86" s="67"/>
      <x:c r="K86" s="67" t="str">
        <x:v>常住与户籍差是跨口径差额，不等于迁出人数；区县统计辖区、年份应复核。</x:v>
      </x:c>
    </x:row>
    <x:row r="87" ht="25" customHeight="1">
      <x:c r="A87" s="67" t="str">
        <x:v>抚州市</x:v>
      </x:c>
      <x:c r="B87" s="67" t="str">
        <x:v>乐安县</x:v>
      </x:c>
      <x:c r="C87" s="67" t="str">
        <x:v>县</x:v>
      </x:c>
      <x:c r="D87" s="67"/>
      <x:c r="E87" s="67"/>
      <x:c r="F87" s="67" t="str">
        <x:f>IF(AND(ISNUMBER(D87),ISNUMBER(E87)),E87-D87,"")</x:f>
      </x:c>
      <x:c r="G87" s="69" t="str">
        <x:f>IF(AND(ISNUMBER(F87),ISNUMBER(E87),E87&gt;0),F87/E87,"")</x:f>
      </x:c>
      <x:c r="H87" s="67"/>
      <x:c r="I87" s="67"/>
      <x:c r="J87" s="67"/>
      <x:c r="K87" s="67" t="str">
        <x:v>常住与户籍差是跨口径差额，不等于迁出人数；区县统计辖区、年份应复核。</x:v>
      </x:c>
    </x:row>
    <x:row r="88" ht="25" customHeight="1">
      <x:c r="A88" s="67" t="str">
        <x:v>抚州市</x:v>
      </x:c>
      <x:c r="B88" s="67" t="str">
        <x:v>宜黄县</x:v>
      </x:c>
      <x:c r="C88" s="67" t="str">
        <x:v>县</x:v>
      </x:c>
      <x:c r="D88" s="67"/>
      <x:c r="E88" s="67"/>
      <x:c r="F88" s="67" t="str">
        <x:f>IF(AND(ISNUMBER(D88),ISNUMBER(E88)),E88-D88,"")</x:f>
      </x:c>
      <x:c r="G88" s="69" t="str">
        <x:f>IF(AND(ISNUMBER(F88),ISNUMBER(E88),E88&gt;0),F88/E88,"")</x:f>
      </x:c>
      <x:c r="H88" s="67"/>
      <x:c r="I88" s="67"/>
      <x:c r="J88" s="67"/>
      <x:c r="K88" s="67" t="str">
        <x:v>常住与户籍差是跨口径差额，不等于迁出人数；区县统计辖区、年份应复核。</x:v>
      </x:c>
    </x:row>
    <x:row r="89" ht="25" customHeight="1">
      <x:c r="A89" s="67" t="str">
        <x:v>抚州市</x:v>
      </x:c>
      <x:c r="B89" s="67" t="str">
        <x:v>金溪县</x:v>
      </x:c>
      <x:c r="C89" s="67" t="str">
        <x:v>县</x:v>
      </x:c>
      <x:c r="D89" s="67"/>
      <x:c r="E89" s="67"/>
      <x:c r="F89" s="67" t="str">
        <x:f>IF(AND(ISNUMBER(D89),ISNUMBER(E89)),E89-D89,"")</x:f>
      </x:c>
      <x:c r="G89" s="69" t="str">
        <x:f>IF(AND(ISNUMBER(F89),ISNUMBER(E89),E89&gt;0),F89/E89,"")</x:f>
      </x:c>
      <x:c r="H89" s="67"/>
      <x:c r="I89" s="67"/>
      <x:c r="J89" s="67"/>
      <x:c r="K89" s="67" t="str">
        <x:v>常住与户籍差是跨口径差额，不等于迁出人数；区县统计辖区、年份应复核。</x:v>
      </x:c>
    </x:row>
    <x:row r="90" ht="25" customHeight="1">
      <x:c r="A90" s="67" t="str">
        <x:v>抚州市</x:v>
      </x:c>
      <x:c r="B90" s="67" t="str">
        <x:v>资溪县</x:v>
      </x:c>
      <x:c r="C90" s="67" t="str">
        <x:v>县</x:v>
      </x:c>
      <x:c r="D90" s="67"/>
      <x:c r="E90" s="67"/>
      <x:c r="F90" s="67" t="str">
        <x:f>IF(AND(ISNUMBER(D90),ISNUMBER(E90)),E90-D90,"")</x:f>
      </x:c>
      <x:c r="G90" s="69" t="str">
        <x:f>IF(AND(ISNUMBER(F90),ISNUMBER(E90),E90&gt;0),F90/E90,"")</x:f>
      </x:c>
      <x:c r="H90" s="67"/>
      <x:c r="I90" s="67"/>
      <x:c r="J90" s="67"/>
      <x:c r="K90" s="67" t="str">
        <x:v>常住与户籍差是跨口径差额，不等于迁出人数；区县统计辖区、年份应复核。</x:v>
      </x:c>
    </x:row>
    <x:row r="91" ht="25" customHeight="1">
      <x:c r="A91" s="67" t="str">
        <x:v>抚州市</x:v>
      </x:c>
      <x:c r="B91" s="67" t="str">
        <x:v>广昌县</x:v>
      </x:c>
      <x:c r="C91" s="67" t="str">
        <x:v>县</x:v>
      </x:c>
      <x:c r="D91" s="67"/>
      <x:c r="E91" s="67"/>
      <x:c r="F91" s="67" t="str">
        <x:f>IF(AND(ISNUMBER(D91),ISNUMBER(E91)),E91-D91,"")</x:f>
      </x:c>
      <x:c r="G91" s="69" t="str">
        <x:f>IF(AND(ISNUMBER(F91),ISNUMBER(E91),E91&gt;0),F91/E91,"")</x:f>
      </x:c>
      <x:c r="H91" s="67"/>
      <x:c r="I91" s="67"/>
      <x:c r="J91" s="67"/>
      <x:c r="K91" s="67" t="str">
        <x:v>常住与户籍差是跨口径差额，不等于迁出人数；区县统计辖区、年份应复核。</x:v>
      </x:c>
    </x:row>
    <x:row r="92" ht="25" customHeight="1">
      <x:c r="A92" s="67" t="str">
        <x:v>上饶市</x:v>
      </x:c>
      <x:c r="B92" s="67" t="str">
        <x:v>信州区</x:v>
      </x:c>
      <x:c r="C92" s="67" t="str">
        <x:v>区</x:v>
      </x:c>
      <x:c r="D92" s="67"/>
      <x:c r="E92" s="67"/>
      <x:c r="F92" s="67" t="str">
        <x:f>IF(AND(ISNUMBER(D92),ISNUMBER(E92)),E92-D92,"")</x:f>
      </x:c>
      <x:c r="G92" s="69" t="str">
        <x:f>IF(AND(ISNUMBER(F92),ISNUMBER(E92),E92&gt;0),F92/E92,"")</x:f>
      </x:c>
      <x:c r="H92" s="67"/>
      <x:c r="I92" s="67"/>
      <x:c r="J92" s="67"/>
      <x:c r="K92" s="67" t="str">
        <x:v>常住与户籍差是跨口径差额，不等于迁出人数；区县统计辖区、年份应复核。</x:v>
      </x:c>
    </x:row>
    <x:row r="93" ht="25" customHeight="1">
      <x:c r="A93" s="67" t="str">
        <x:v>上饶市</x:v>
      </x:c>
      <x:c r="B93" s="67" t="str">
        <x:v>广丰区</x:v>
      </x:c>
      <x:c r="C93" s="67" t="str">
        <x:v>区</x:v>
      </x:c>
      <x:c r="D93" s="67"/>
      <x:c r="E93" s="67"/>
      <x:c r="F93" s="67" t="str">
        <x:f>IF(AND(ISNUMBER(D93),ISNUMBER(E93)),E93-D93,"")</x:f>
      </x:c>
      <x:c r="G93" s="69" t="str">
        <x:f>IF(AND(ISNUMBER(F93),ISNUMBER(E93),E93&gt;0),F93/E93,"")</x:f>
      </x:c>
      <x:c r="H93" s="67"/>
      <x:c r="I93" s="67"/>
      <x:c r="J93" s="67"/>
      <x:c r="K93" s="67" t="str">
        <x:v>常住与户籍差是跨口径差额，不等于迁出人数；区县统计辖区、年份应复核。</x:v>
      </x:c>
    </x:row>
    <x:row r="94" ht="25" customHeight="1">
      <x:c r="A94" s="67" t="str">
        <x:v>上饶市</x:v>
      </x:c>
      <x:c r="B94" s="67" t="str">
        <x:v>广信区</x:v>
      </x:c>
      <x:c r="C94" s="67" t="str">
        <x:v>区</x:v>
      </x:c>
      <x:c r="D94" s="67"/>
      <x:c r="E94" s="67"/>
      <x:c r="F94" s="67" t="str">
        <x:f>IF(AND(ISNUMBER(D94),ISNUMBER(E94)),E94-D94,"")</x:f>
      </x:c>
      <x:c r="G94" s="69" t="str">
        <x:f>IF(AND(ISNUMBER(F94),ISNUMBER(E94),E94&gt;0),F94/E94,"")</x:f>
      </x:c>
      <x:c r="H94" s="67"/>
      <x:c r="I94" s="67"/>
      <x:c r="J94" s="67"/>
      <x:c r="K94" s="67" t="str">
        <x:v>常住与户籍差是跨口径差额，不等于迁出人数；区县统计辖区、年份应复核。</x:v>
      </x:c>
    </x:row>
    <x:row r="95" ht="25" customHeight="1">
      <x:c r="A95" s="67" t="str">
        <x:v>上饶市</x:v>
      </x:c>
      <x:c r="B95" s="67" t="str">
        <x:v>德兴市</x:v>
      </x:c>
      <x:c r="C95" s="67" t="str">
        <x:v>县级市</x:v>
      </x:c>
      <x:c r="D95" s="67"/>
      <x:c r="E95" s="67"/>
      <x:c r="F95" s="67" t="str">
        <x:f>IF(AND(ISNUMBER(D95),ISNUMBER(E95)),E95-D95,"")</x:f>
      </x:c>
      <x:c r="G95" s="69" t="str">
        <x:f>IF(AND(ISNUMBER(F95),ISNUMBER(E95),E95&gt;0),F95/E95,"")</x:f>
      </x:c>
      <x:c r="H95" s="67"/>
      <x:c r="I95" s="67"/>
      <x:c r="J95" s="67"/>
      <x:c r="K95" s="67" t="str">
        <x:v>常住与户籍差是跨口径差额，不等于迁出人数；区县统计辖区、年份应复核。</x:v>
      </x:c>
    </x:row>
    <x:row r="96" ht="25" customHeight="1">
      <x:c r="A96" s="67" t="str">
        <x:v>上饶市</x:v>
      </x:c>
      <x:c r="B96" s="67" t="str">
        <x:v>玉山县</x:v>
      </x:c>
      <x:c r="C96" s="67" t="str">
        <x:v>县</x:v>
      </x:c>
      <x:c r="D96" s="67" t="n">
        <x:v>494100</x:v>
      </x:c>
      <x:c r="E96" s="67"/>
      <x:c r="F96" s="67" t="str">
        <x:f>IF(AND(ISNUMBER(D96),ISNUMBER(E96)),E96-D96,"")</x:f>
      </x:c>
      <x:c r="G96" s="69" t="str">
        <x:f>IF(AND(ISNUMBER(F96),ISNUMBER(E96),E96&gt;0),F96/E96,"")</x:f>
      </x:c>
      <x:c r="H96" s="67" t="n">
        <x:v>312100</x:v>
      </x:c>
      <x:c r="I96" s="67" t="n">
        <x:v>335.95</x:v>
      </x:c>
      <x:c r="J96" s="67" t="str">
        <x:v>https://www.hongheiku.com/xianjirank/jxsgxsq/11328.html</x:v>
      </x:c>
      <x:c r="K96" s="67" t="str">
        <x:v>常住与户籍差是跨口径差额，不等于迁出人数；区县统计辖区、年份应复核。</x:v>
      </x:c>
    </x:row>
    <x:row r="97" ht="25" customHeight="1">
      <x:c r="A97" s="67" t="str">
        <x:v>上饶市</x:v>
      </x:c>
      <x:c r="B97" s="67" t="str">
        <x:v>铅山县</x:v>
      </x:c>
      <x:c r="C97" s="67" t="str">
        <x:v>县</x:v>
      </x:c>
      <x:c r="D97" s="67"/>
      <x:c r="E97" s="67"/>
      <x:c r="F97" s="67" t="str">
        <x:f>IF(AND(ISNUMBER(D97),ISNUMBER(E97)),E97-D97,"")</x:f>
      </x:c>
      <x:c r="G97" s="69" t="str">
        <x:f>IF(AND(ISNUMBER(F97),ISNUMBER(E97),E97&gt;0),F97/E97,"")</x:f>
      </x:c>
      <x:c r="H97" s="67"/>
      <x:c r="I97" s="67"/>
      <x:c r="J97" s="67"/>
      <x:c r="K97" s="67" t="str">
        <x:v>常住与户籍差是跨口径差额，不等于迁出人数；区县统计辖区、年份应复核。</x:v>
      </x:c>
    </x:row>
    <x:row r="98" ht="25" customHeight="1">
      <x:c r="A98" s="67" t="str">
        <x:v>上饶市</x:v>
      </x:c>
      <x:c r="B98" s="67" t="str">
        <x:v>横峰县</x:v>
      </x:c>
      <x:c r="C98" s="67" t="str">
        <x:v>县</x:v>
      </x:c>
      <x:c r="D98" s="67"/>
      <x:c r="E98" s="67"/>
      <x:c r="F98" s="67" t="str">
        <x:f>IF(AND(ISNUMBER(D98),ISNUMBER(E98)),E98-D98,"")</x:f>
      </x:c>
      <x:c r="G98" s="69" t="str">
        <x:f>IF(AND(ISNUMBER(F98),ISNUMBER(E98),E98&gt;0),F98/E98,"")</x:f>
      </x:c>
      <x:c r="H98" s="67"/>
      <x:c r="I98" s="67"/>
      <x:c r="J98" s="67"/>
      <x:c r="K98" s="67" t="str">
        <x:v>常住与户籍差是跨口径差额，不等于迁出人数；区县统计辖区、年份应复核。</x:v>
      </x:c>
    </x:row>
    <x:row r="99" ht="25" customHeight="1">
      <x:c r="A99" s="67" t="str">
        <x:v>上饶市</x:v>
      </x:c>
      <x:c r="B99" s="67" t="str">
        <x:v>弋阳县</x:v>
      </x:c>
      <x:c r="C99" s="67" t="str">
        <x:v>县</x:v>
      </x:c>
      <x:c r="D99" s="67"/>
      <x:c r="E99" s="67"/>
      <x:c r="F99" s="67" t="str">
        <x:f>IF(AND(ISNUMBER(D99),ISNUMBER(E99)),E99-D99,"")</x:f>
      </x:c>
      <x:c r="G99" s="69" t="str">
        <x:f>IF(AND(ISNUMBER(F99),ISNUMBER(E99),E99&gt;0),F99/E99,"")</x:f>
      </x:c>
      <x:c r="H99" s="67"/>
      <x:c r="I99" s="67"/>
      <x:c r="J99" s="67"/>
      <x:c r="K99" s="67" t="str">
        <x:v>常住与户籍差是跨口径差额，不等于迁出人数；区县统计辖区、年份应复核。</x:v>
      </x:c>
    </x:row>
    <x:row r="100" ht="25" customHeight="1">
      <x:c r="A100" s="67" t="str">
        <x:v>上饶市</x:v>
      </x:c>
      <x:c r="B100" s="67" t="str">
        <x:v>余干县</x:v>
      </x:c>
      <x:c r="C100" s="67" t="str">
        <x:v>县</x:v>
      </x:c>
      <x:c r="D100" s="67"/>
      <x:c r="E100" s="67"/>
      <x:c r="F100" s="67" t="str">
        <x:f>IF(AND(ISNUMBER(D100),ISNUMBER(E100)),E100-D100,"")</x:f>
      </x:c>
      <x:c r="G100" s="69" t="str">
        <x:f>IF(AND(ISNUMBER(F100),ISNUMBER(E100),E100&gt;0),F100/E100,"")</x:f>
      </x:c>
      <x:c r="H100" s="67"/>
      <x:c r="I100" s="67"/>
      <x:c r="J100" s="67"/>
      <x:c r="K100" s="67" t="str">
        <x:v>常住与户籍差是跨口径差额，不等于迁出人数；区县统计辖区、年份应复核。</x:v>
      </x:c>
    </x:row>
    <x:row r="101" ht="25" customHeight="1">
      <x:c r="A101" s="67" t="str">
        <x:v>上饶市</x:v>
      </x:c>
      <x:c r="B101" s="67" t="str">
        <x:v>鄱阳县</x:v>
      </x:c>
      <x:c r="C101" s="67" t="str">
        <x:v>县</x:v>
      </x:c>
      <x:c r="D101" s="67"/>
      <x:c r="E101" s="67"/>
      <x:c r="F101" s="67" t="str">
        <x:f>IF(AND(ISNUMBER(D101),ISNUMBER(E101)),E101-D101,"")</x:f>
      </x:c>
      <x:c r="G101" s="69" t="str">
        <x:f>IF(AND(ISNUMBER(F101),ISNUMBER(E101),E101&gt;0),F101/E101,"")</x:f>
      </x:c>
      <x:c r="H101" s="67"/>
      <x:c r="I101" s="67"/>
      <x:c r="J101" s="67"/>
      <x:c r="K101" s="67" t="str">
        <x:v>常住与户籍差是跨口径差额，不等于迁出人数；区县统计辖区、年份应复核。</x:v>
      </x:c>
    </x:row>
    <x:row r="102" ht="25" customHeight="1">
      <x:c r="A102" s="67" t="str">
        <x:v>上饶市</x:v>
      </x:c>
      <x:c r="B102" s="67" t="str">
        <x:v>万年县</x:v>
      </x:c>
      <x:c r="C102" s="67" t="str">
        <x:v>县</x:v>
      </x:c>
      <x:c r="D102" s="67"/>
      <x:c r="E102" s="67"/>
      <x:c r="F102" s="67" t="str">
        <x:f>IF(AND(ISNUMBER(D102),ISNUMBER(E102)),E102-D102,"")</x:f>
      </x:c>
      <x:c r="G102" s="69" t="str">
        <x:f>IF(AND(ISNUMBER(F102),ISNUMBER(E102),E102&gt;0),F102/E102,"")</x:f>
      </x:c>
      <x:c r="H102" s="67"/>
      <x:c r="I102" s="67"/>
      <x:c r="J102" s="67"/>
      <x:c r="K102" s="67" t="str">
        <x:v>常住与户籍差是跨口径差额，不等于迁出人数；区县统计辖区、年份应复核。</x:v>
      </x:c>
    </x:row>
    <x:row r="103" ht="25" customHeight="1">
      <x:c r="A103" s="67" t="str">
        <x:v>上饶市</x:v>
      </x:c>
      <x:c r="B103" s="67" t="str">
        <x:v>婺源县</x:v>
      </x:c>
      <x:c r="C103" s="67" t="str">
        <x:v>县</x:v>
      </x:c>
      <x:c r="D103" s="67" t="n">
        <x:v>301700</x:v>
      </x:c>
      <x:c r="E103" s="67"/>
      <x:c r="F103" s="67" t="str">
        <x:f>IF(AND(ISNUMBER(D103),ISNUMBER(E103)),E103-D103,"")</x:f>
      </x:c>
      <x:c r="G103" s="69" t="str">
        <x:f>IF(AND(ISNUMBER(F103),ISNUMBER(E103),E103&gt;0),F103/E103,"")</x:f>
      </x:c>
      <x:c r="H103" s="67" t="n">
        <x:v>169700</x:v>
      </x:c>
      <x:c r="I103" s="67"/>
      <x:c r="J103" s="67" t="str">
        <x:v>https://tjgb.hongheiku.com/xjtjgb/xj2020/73815.html</x:v>
      </x:c>
      <x:c r="K103" s="67" t="str">
        <x:v>常住与户籍差是跨口径差额，不等于迁出人数；区县统计辖区、年份应复核。</x:v>
      </x:c>
    </x:row>
    <x:row r="106" ht="26" customHeight="1">
      <x:c r="A106" s="64" t="str">
        <x:v>县区</x:v>
      </x:c>
      <x:c r="B106" s="64" t="str">
        <x:v>2024常住人口</x:v>
      </x:c>
      <x:c r="C106" s="64" t="str">
        <x:v>2025常住人口</x:v>
      </x:c>
      <x:c r="D106" s="64" t="str">
        <x:v>2025出生人口</x:v>
      </x:c>
      <x:c r="E106" s="64" t="str">
        <x:v>2025死亡人口</x:v>
      </x:c>
      <x:c r="F106" s="64" t="str">
        <x:v>2024→2025常住变化</x:v>
      </x:c>
      <x:c r="G106" s="64" t="str">
        <x:v>2025自然增加</x:v>
      </x:c>
      <x:c r="H106" s="64" t="str">
        <x:v>迁移及统计调整残差</x:v>
      </x:c>
      <x:c r="I106" s="64" t="str">
        <x:v>2025户籍人口</x:v>
      </x:c>
      <x:c r="J106" s="64" t="str">
        <x:v>资料来源</x:v>
      </x:c>
    </x:row>
    <x:row r="107">
      <x:c r="A107" t="str">
        <x:v>峡江县</x:v>
      </x:c>
      <x:c r="B107" t="n">
        <x:v>146153</x:v>
      </x:c>
      <x:c r="C107" t="n">
        <x:v>142688</x:v>
      </x:c>
      <x:c r="D107" t="n">
        <x:v>931</x:v>
      </x:c>
      <x:c r="E107" t="n">
        <x:v>1048</x:v>
      </x:c>
      <x:c r="F107" t="n">
        <x:f>C107-B107</x:f>
        <x:v>-3465</x:v>
      </x:c>
      <x:c r="G107" t="n">
        <x:f>IF(COUNT(D107:E107)=2,D107-E107,"")</x:f>
        <x:v>-117</x:v>
      </x:c>
      <x:c r="H107" t="n">
        <x:f>IF(ISNUMBER(G107),F107-G107,"")</x:f>
        <x:v>-3348</x:v>
      </x:c>
      <x:c r="I107" t="n">
        <x:v>187997</x:v>
      </x:c>
      <x:c r="J107" t="str">
        <x:v>https://tjgb.hongheiku.com/xjtjgb/xj2020/73609.html</x:v>
      </x:c>
    </x:row>
    <x:row r="108">
      <x:c r="A108" t="str">
        <x:v>吉安县（不含井开区）</x:v>
      </x:c>
      <x:c r="B108" t="n">
        <x:v>401443</x:v>
      </x:c>
      <x:c r="C108" t="n">
        <x:v>390725</x:v>
      </x:c>
      <x:c r="D108"/>
      <x:c r="E108"/>
      <x:c r="F108" t="n">
        <x:f>C108-B108</x:f>
        <x:v>-10718</x:v>
      </x:c>
      <x:c r="G108" t="str">
        <x:f>IF(COUNT(D108:E108)=2,D108-E108,"")</x:f>
      </x:c>
      <x:c r="H108" t="str">
        <x:f>IF(ISNUMBER(G108),F108-G108,"")</x:f>
      </x:c>
      <x:c r="I108" t="n">
        <x:v>500714</x:v>
      </x:c>
      <x:c r="J108" t="str">
        <x:v>https://maptable.com/tjgb/2025/吉安市/吉安县/report/ji-an-shi-ji-an-xian-2025-nian-guo-min-jing-ji-he-she-hui-fa-zhan-tong-ji-gong-bao</x:v>
      </x:c>
    </x:row>
    <x:row r="110" ht="40" customHeight="1">
      <x:c r="A110" s="75" t="str">
        <x:v>峡江2025年常住人口比上年减少3,465人，其中自然减少117人，其余约3,348人的统计残差可能与人口迁移、统计修订及时间口径相关；不得直接认定为“净迁出3,348人”。</x:v>
      </x:c>
      <x:c r="B110" s="75"/>
      <x:c r="C110" s="75"/>
      <x:c r="D110" s="75"/>
      <x:c r="E110" s="75"/>
      <x:c r="F110" s="75"/>
      <x:c r="G110" s="75"/>
      <x:c r="H110" s="75"/>
      <x:c r="I110" s="75"/>
      <x:c r="J110" s="75"/>
      <x:c r="K110" s="75"/>
    </x:row>
  </x:sheetData>
  <x:mergeCells>
    <x:mergeCell ref="A1:K1"/>
    <x:mergeCell ref="A110:K110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3" hidden="0" customWidth="1"/>
    <x:col min="2" max="2" width="63" hidden="0" customWidth="1"/>
    <x:col min="3" max="3" width="62" hidden="0" customWidth="1"/>
    <x:col min="4" max="4" width="54" hidden="0" customWidth="1"/>
    <x:col min="5" max="5" width="62" hidden="0" customWidth="1"/>
    <x:col min="6" max="6" width="64" hidden="0" customWidth="1"/>
    <x:col min="7" max="7" width="70" hidden="0" customWidth="1"/>
    <x:col min="8" max="8" width="22" hidden="0" customWidth="1"/>
  </x:cols>
  <x:sheetData>
    <x:row r="1" ht="34" customHeight="1">
      <x:c r="A1" s="62" t="str">
        <x:v>制度机制 · 可检验假说 · 关键资料及证据等级</x:v>
      </x:c>
      <x:c r="B1" s="62"/>
      <x:c r="C1" s="62"/>
      <x:c r="D1" s="62"/>
      <x:c r="E1" s="62"/>
      <x:c r="F1" s="62"/>
      <x:c r="G1" s="62"/>
      <x:c r="H1" s="62"/>
    </x:row>
    <x:row r="3" ht="34" customHeight="1">
      <x:c r="A3" s="66" t="str">
        <x:v>研究主题</x:v>
      </x:c>
      <x:c r="B3" s="66" t="str">
        <x:v>正式规则/制度事实</x:v>
      </x:c>
      <x:c r="C3" s="66" t="str">
        <x:v>影响渠道</x:v>
      </x:c>
      <x:c r="D3" s="66" t="str">
        <x:v>2025观察到的事实</x:v>
      </x:c>
      <x:c r="E3" s="66" t="str">
        <x:v>继续采集资料</x:v>
      </x:c>
      <x:c r="F3" s="66" t="str">
        <x:v>待检验结论与边界</x:v>
      </x:c>
      <x:c r="G3" s="66" t="str">
        <x:v>可核验政策或报告URL</x:v>
      </x:c>
      <x:c r="H3" s="66" t="str">
        <x:v>证据等级</x:v>
      </x:c>
    </x:row>
    <x:row r="4" ht="58" customHeight="1">
      <x:c r="A4" s="82" t="str">
        <x:v>制度分层</x:v>
      </x:c>
      <x:c r="B4" s="82" t="str">
        <x:v>企业职工、机关事业单位、城乡居民三套计发与缴费安排</x:v>
      </x:c>
      <x:c r="C4" s="82" t="str">
        <x:v>不同缴费基数、年限和待遇结构可造成群体差距</x:v>
      </x:c>
      <x:c r="D4" s="82" t="str">
        <x:v>峡江县人均估算差距显著</x:v>
      </x:c>
      <x:c r="E4" s="82" t="str">
        <x:v>核对群体年龄、缴费年限、地区和补充年金</x:v>
      </x:c>
      <x:c r="F4" s="82" t="str">
        <x:v>需要个体微观分布才能判断制度因果效应</x:v>
      </x:c>
      <x:c r="G4" s="82" t="str">
        <x:v>https://www.ndrc.gov.cn/fggz/gbzj/xxyd/202204/t20220426_1323094.html</x:v>
      </x:c>
      <x:c r="H4" s="82" t="str">
        <x:v>政策明确</x:v>
      </x:c>
    </x:row>
    <x:row r="5" ht="58" customHeight="1">
      <x:c r="A5" s="82" t="str">
        <x:v>职业年金</x:v>
      </x:c>
      <x:c r="B5" s="82" t="str">
        <x:v>机关事业单位建立职业年金，单位8%、个人4%</x:v>
      </x:c>
      <x:c r="C5" s="82" t="str">
        <x:v>退休综合待遇不能只看基本养老金</x:v>
      </x:c>
      <x:c r="D5" s="82" t="str">
        <x:v>县公报一般仅称养老金发放</x:v>
      </x:c>
      <x:c r="E5" s="82" t="str">
        <x:v>核对公报是否含职业年金、补贴</x:v>
      </x:c>
      <x:c r="F5" s="82" t="str">
        <x:v>若含则与仅基本养老金不完全同口径</x:v>
      </x:c>
      <x:c r="G5" s="82" t="str">
        <x:v>https://www.ndrc.gov.cn/fggz/gbzj/xxyd/202202/t20220225_1317031_ext.html</x:v>
      </x:c>
      <x:c r="H5" s="82" t="str">
        <x:v>政策明确</x:v>
      </x:c>
    </x:row>
    <x:row r="6" ht="58" customHeight="1">
      <x:c r="A6" s="82" t="str">
        <x:v>2014改革过渡</x:v>
      </x:c>
      <x:c r="B6" s="82" t="str">
        <x:v>2014年10月改革；2024-09-30十年过渡结束</x:v>
      </x:c>
      <x:c r="C6" s="82" t="str">
        <x:v>制度历史权益形成退休队列差异</x:v>
      </x:c>
      <x:c r="D6" s="82" t="str">
        <x:v>2025既有改革前后不同退休队列</x:v>
      </x:c>
      <x:c r="E6" s="82" t="str">
        <x:v>按照退休年份与职级/工龄分层</x:v>
      </x:c>
      <x:c r="F6" s="82" t="str">
        <x:v>不能仅由2025截面推断改革效果</x:v>
      </x:c>
      <x:c r="G6" s="82" t="str">
        <x:v>https://www.ndrc.gov.cn/fggz/gbzj/xxyd/202204/t20220426_1323099.html</x:v>
      </x:c>
      <x:c r="H6" s="82" t="str">
        <x:v>政策明确</x:v>
      </x:c>
    </x:row>
    <x:row r="7" ht="58" customHeight="1">
      <x:c r="A7" s="82" t="str">
        <x:v>城乡居民基础养老金</x:v>
      </x:c>
      <x:c r="B7" s="82" t="str">
        <x:v>居民基本养老金=基础养老金+个人账户养老金</x:v>
      </x:c>
      <x:c r="C7" s="82" t="str">
        <x:v>财政确定基础最低标准，地方可再提高</x:v>
      </x:c>
      <x:c r="D7" s="82" t="str">
        <x:v>赣州2025年先205元、7月起225元</x:v>
      </x:c>
      <x:c r="E7" s="82" t="str">
        <x:v>比较县级标准、个人账户养老金和加发项目</x:v>
      </x:c>
      <x:c r="F7" s="82" t="str">
        <x:v>县级标准可解释部分地区待遇差异</x:v>
      </x:c>
      <x:c r="G7" s="82" t="str">
        <x:v>https://www.ganzhou.gov.cn/zfxxgk/c143873/202601/daccdc473f0c48539ab4caeaefce9c60.shtml</x:v>
      </x:c>
      <x:c r="H7" s="82" t="str">
        <x:v>地方政策明确</x:v>
      </x:c>
    </x:row>
    <x:row r="8" ht="58" customHeight="1">
      <x:c r="A8" s="82" t="str">
        <x:v>县级额外加发</x:v>
      </x:c>
      <x:c r="B8" s="82" t="str">
        <x:v>石城县2025年额外上调3元/月：上半年208、下半年228元</x:v>
      </x:c>
      <x:c r="C8" s="82" t="str">
        <x:v>同一地市内县级财力可影响基础养老金</x:v>
      </x:c>
      <x:c r="D8" s="82" t="str">
        <x:v>赣州与石城形成市县加发案例</x:v>
      </x:c>
      <x:c r="E8" s="82" t="str">
        <x:v>县财政专项补贴与实际领取人数</x:v>
      </x:c>
      <x:c r="F8" s="82" t="str">
        <x:v>研究县级财政能力与基础养老金加发的关系</x:v>
      </x:c>
      <x:c r="G8" s="82" t="str">
        <x:v>https://www.shicheng.gov.cn/scxxxgk/shbxscx25/202603/2f1f1653520e4a7ab21ece57c826a724.shtml</x:v>
      </x:c>
      <x:c r="H8" s="82" t="str">
        <x:v>地方政策明确</x:v>
      </x:c>
    </x:row>
    <x:row r="9" ht="58" customHeight="1">
      <x:c r="A9" s="82" t="str">
        <x:v>省级退休待遇调整</x:v>
      </x:c>
      <x:c r="B9" s="82" t="str">
        <x:v>2025年企业和机关事业单位统一调整办法（定额+挂钩+高龄）</x:v>
      </x:c>
      <x:c r="C9" s="82" t="str">
        <x:v>相同调整规则不等于待遇金额相同</x:v>
      </x:c>
      <x:c r="D9" s="82" t="str">
        <x:v>官方约420万退休人员受益</x:v>
      </x:c>
      <x:c r="E9" s="82" t="str">
        <x:v>各县人员养老金基数、缴费年限和年龄结构</x:v>
      </x:c>
      <x:c r="F9" s="82" t="str">
        <x:v>剔除统一调整后分析原有待遇差距</x:v>
      </x:c>
      <x:c r="G9" s="82" t="str">
        <x:v>https://jx.mof.gov.cn/xxgk/tongzhitonggao/202507/t20250728_3968859.htm</x:v>
      </x:c>
      <x:c r="H9" s="82" t="str">
        <x:v>财政部驻赣机构</x:v>
      </x:c>
    </x:row>
    <x:row r="10" ht="58" customHeight="1">
      <x:c r="A10" s="82" t="str">
        <x:v>全国统筹</x:v>
      </x:c>
      <x:c r="B10" s="82" t="str">
        <x:v>企业职工养老保险2022年实行全国统筹</x:v>
      </x:c>
      <x:c r="C10" s="82" t="str">
        <x:v>一县征缴/支付比不是独立基金偿付率</x:v>
      </x:c>
      <x:c r="D10" s="82" t="str">
        <x:v>峡江2025本地征缴小于当年发放额</x:v>
      </x:c>
      <x:c r="E10" s="82" t="str">
        <x:v>统筹调剂、财政补助、基金投资及结余</x:v>
      </x:c>
      <x:c r="F10" s="82" t="str">
        <x:v>研究县际财政与养老资金再分配</x:v>
      </x:c>
      <x:c r="G10" s="82" t="str">
        <x:v>https://www.ndrc.gov.cn/fggz/jyysr/jysrsbxf/202301/t20230131_1348098_ext.html</x:v>
      </x:c>
      <x:c r="H10" s="82" t="str">
        <x:v>政策明确</x:v>
      </x:c>
    </x:row>
    <x:row r="11" ht="58" customHeight="1">
      <x:c r="A11" s="82" t="str">
        <x:v>就业稳定性</x:v>
      </x:c>
      <x:c r="B11" s="82" t="str">
        <x:v>正规就业关系影响企业养老和公积金持续缴纳</x:v>
      </x:c>
      <x:c r="C11" s="82" t="str">
        <x:v>缴存群体结构与退休制度覆盖结构有关</x:v>
      </x:c>
      <x:c r="D11" s="82" t="str">
        <x:v>2025江西公积金企业50.83%，非企业47.99%</x:v>
      </x:c>
      <x:c r="E11" s="82" t="str">
        <x:v>按全省就业人口、在职参保、公积金在职缴存分组</x:v>
      </x:c>
      <x:c r="F11" s="82" t="str">
        <x:v>识别覆盖缺口，但不能混用参保与实缴分母</x:v>
      </x:c>
      <x:c r="G11" s="82" t="str">
        <x:v>https://jx.ifeng.com/c/8sk35lBJNwe</x:v>
      </x:c>
      <x:c r="H11" s="82" t="str">
        <x:v>报告直接支持分布</x:v>
      </x:c>
    </x:row>
    <x:row r="12" ht="58" customHeight="1">
      <x:c r="A12" s="82" t="str">
        <x:v>人口老化及迁移</x:v>
      </x:c>
      <x:c r="B12" s="82" t="str">
        <x:v>出生、死亡、人口流动改变县级抚养结构</x:v>
      </x:c>
      <x:c r="C12" s="82" t="str">
        <x:v>退休人口存量和劳动缴费人口的变化可能不同步</x:v>
      </x:c>
      <x:c r="D12" s="82" t="str">
        <x:v>峡江2025常住人口下降3465人</x:v>
      </x:c>
      <x:c r="E12" s="82" t="str">
        <x:v>年龄组、县内岗位、净迁移、异地享待人数</x:v>
      </x:c>
      <x:c r="F12" s="82" t="str">
        <x:v>只可做假说，需微观和跨年数据</x:v>
      </x:c>
      <x:c r="G12" s="82" t="str">
        <x:v>https://tjgb.hongheiku.com/xjtjgb/xj2020/73609.html</x:v>
      </x:c>
      <x:c r="H12" s="82" t="str">
        <x:v>部分观察已证实</x:v>
      </x:c>
    </x:row>
    <x:row r="13" ht="58" customHeight="1">
      <x:c r="A13" s="82" t="str">
        <x:v>统计不同预算</x:v>
      </x:c>
      <x:c r="B13" s="82" t="str">
        <x:v>社保基金预算、一般公共预算为不同账户和支出分类</x:v>
      </x:c>
      <x:c r="C13" s="82" t="str">
        <x:v>养老金金额与一般预算社保就业支出不可互减求缺口</x:v>
      </x:c>
      <x:c r="D13" s="82" t="str">
        <x:v>峡江养老金5.37亿，一般预算社保就业支出4.25亿</x:v>
      </x:c>
      <x:c r="E13" s="82" t="str">
        <x:v>财政补贴、统筹拨付、预算决算各险种</x:v>
      </x:c>
      <x:c r="F13" s="82" t="str">
        <x:v>建立来源-用途对账，不把支出规模误判为财政缺口</x:v>
      </x:c>
      <x:c r="G13" s="82" t="str">
        <x:v>https://tjgb.hongheiku.com/xjtjgb/xj2020/73609.html</x:v>
      </x:c>
      <x:c r="H13" s="82" t="str">
        <x:v>财政口径可复核</x:v>
      </x:c>
    </x:row>
    <x:row r="14" ht="58" customHeight="1">
      <x:c r="A14" s="82" t="str">
        <x:v>公积金退出与养老金</x:v>
      </x:c>
      <x:c r="B14" s="82" t="str">
        <x:v>离退休职工可以依法提取公积金个人账户余额</x:v>
      </x:c>
      <x:c r="C14" s="82" t="str">
        <x:v>退休提取并不是养老保险基金支付</x:v>
      </x:c>
      <x:c r="D14" s="82" t="str">
        <x:v>2025江西公积金提取额19.74%用于离退休提取</x:v>
      </x:c>
      <x:c r="E14" s="82" t="str">
        <x:v>资金去向：公积金提取与养老金待遇分列</x:v>
      </x:c>
      <x:c r="F14" s="82" t="str">
        <x:v>住房积累对退休资产形成额外维度</x:v>
      </x:c>
      <x:c r="G14" s="82" t="str">
        <x:v>https://jx.ifeng.com/c/8sk35lBJNwe</x:v>
      </x:c>
      <x:c r="H14" s="82" t="str">
        <x:v>报告直接支持</x:v>
      </x:c>
    </x:row>
    <x:row r="15" ht="58" customHeight="1">
      <x:c r="A15" s="82" t="str">
        <x:v>2025制度时间边界</x:v>
      </x:c>
      <x:c r="B15" s="82" t="str">
        <x:v>2025年度适用当期政策，2026年后修订规则需单独标注</x:v>
      </x:c>
      <x:c r="C15" s="82" t="str">
        <x:v>不能以后出台政策倒推2025制度</x:v>
      </x:c>
      <x:c r="D15" s="82" t="str">
        <x:v>本表统一保留政策发布/生效年份</x:v>
      </x:c>
      <x:c r="E15" s="82" t="str">
        <x:v>核对政策时点和实际执行时点</x:v>
      </x:c>
      <x:c r="F15" s="82" t="str">
        <x:v>防止把2026变化解释为2025结果</x:v>
      </x:c>
      <x:c r="G15" s="82" t="str">
        <x:v>https://www.ganzhou.gov.cn/zfxxgk/c143873/202601/daccdc473f0c48539ab4caeaefce9c60.shtml</x:v>
      </x:c>
      <x:c r="H15" s="82" t="str">
        <x:v>研究口径规则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3" hidden="0" customWidth="1"/>
    <x:col min="4" max="4" width="23" hidden="0" customWidth="1"/>
    <x:col min="5" max="5" width="17" hidden="0" customWidth="1"/>
    <x:col min="6" max="6" width="16" hidden="0" customWidth="1"/>
    <x:col min="7" max="7" width="17" hidden="0" customWidth="1"/>
    <x:col min="8" max="8" width="17" hidden="0" customWidth="1"/>
    <x:col min="9" max="9" width="19" hidden="0" customWidth="1"/>
    <x:col min="10" max="10" width="25" hidden="0" customWidth="1"/>
    <x:col min="11" max="11" width="56" hidden="0" customWidth="1"/>
    <x:col min="12" max="12" width="56" hidden="0" customWidth="1"/>
    <x:col min="13" max="13" width="73" hidden="0" customWidth="1"/>
  </x:cols>
  <x:sheetData>
    <x:row r="1" ht="34" customHeight="1">
      <x:c r="A1" s="62" t="str">
        <x:v>赣州18个县级行政区 · 2024—2025年常住人口变化及城镇化</x:v>
      </x:c>
      <x:c r="B1" s="62"/>
      <x:c r="C1" s="62"/>
      <x:c r="D1" s="62"/>
      <x:c r="E1" s="62"/>
      <x:c r="F1" s="62"/>
      <x:c r="G1" s="62"/>
      <x:c r="H1" s="62"/>
      <x:c r="I1" s="62"/>
      <x:c r="J1" s="62"/>
      <x:c r="K1" s="62"/>
      <x:c r="L1" s="62"/>
      <x:c r="M1" s="62"/>
    </x:row>
    <x:row r="3" ht="34" customHeight="1">
      <x:c r="A3" s="66" t="str">
        <x:v>地级市</x:v>
      </x:c>
      <x:c r="B3" s="66" t="str">
        <x:v>县区</x:v>
      </x:c>
      <x:c r="C3" s="66" t="str">
        <x:v>2024常住_万人</x:v>
      </x:c>
      <x:c r="D3" s="66" t="str">
        <x:v>2025常住_万人</x:v>
      </x:c>
      <x:c r="E3" s="66" t="str">
        <x:v>增减_万人</x:v>
      </x:c>
      <x:c r="F3" s="66" t="str">
        <x:v>增幅</x:v>
      </x:c>
      <x:c r="G3" s="66" t="str">
        <x:v>2024城镇化率</x:v>
      </x:c>
      <x:c r="H3" s="66" t="str">
        <x:v>2025城镇化率</x:v>
      </x:c>
      <x:c r="I3" s="66" t="str">
        <x:v>变化_百分点</x:v>
      </x:c>
      <x:c r="J3" s="66" t="str">
        <x:v>2025常住_估算人</x:v>
      </x:c>
      <x:c r="K3" s="66" t="str">
        <x:v>2024原始来源</x:v>
      </x:c>
      <x:c r="L3" s="66" t="str">
        <x:v>2025原始来源</x:v>
      </x:c>
      <x:c r="M3" s="66" t="str">
        <x:v>精度与范围</x:v>
      </x:c>
    </x:row>
    <x:row r="4" ht="25" customHeight="1">
      <x:c r="A4" s="67" t="str">
        <x:v>赣州市</x:v>
      </x:c>
      <x:c r="B4" s="67" t="str">
        <x:v>章贡区</x:v>
      </x:c>
      <x:c r="C4" s="67" t="n">
        <x:v>71.52</x:v>
      </x:c>
      <x:c r="D4" s="67" t="n">
        <x:v>71.8</x:v>
      </x:c>
      <x:c r="E4" s="67" t="n">
        <x:f>D4-C4</x:f>
        <x:v>0.28000000000000114</x:v>
      </x:c>
      <x:c r="F4" s="69" t="n">
        <x:f>IFERROR(D4/C4-1,"")</x:f>
        <x:v>0.0039149888143177325</x:v>
      </x:c>
      <x:c r="G4" s="69" t="n">
        <x:v>0.9095</x:v>
      </x:c>
      <x:c r="H4" s="69" t="n">
        <x:v>0.9147</x:v>
      </x:c>
      <x:c r="I4" s="83" t="n">
        <x:f>(H4-G4)*100</x:f>
        <x:v>0.5199999999999982</x:v>
      </x:c>
      <x:c r="J4" s="67" t="n">
        <x:f>D4*10000</x:f>
        <x:v>718000</x:v>
      </x:c>
      <x:c r="K4" s="67" t="str">
        <x:v>https://www.ganzhou.gov.cn/zfxxgk/c100093n1/202503/c7bfdc7911ac4c898c559e58a215509a.shtml</x:v>
      </x:c>
      <x:c r="L4" s="67" t="str">
        <x:v>https://www.ganzhou.gov.cn/zfxxgk/tjzdtjfx/202605/1b10c9c94cf1443f851d6523be5863d3.shtml</x:v>
      </x:c>
      <x:c r="M4" s="67" t="str">
        <x:v>原始人口以万人保留两位小数；城镇化率为官方数。暂未涵盖赣州经开区及蓉江新区（非100县级行政区）。</x:v>
      </x:c>
    </x:row>
    <x:row r="5" ht="25" customHeight="1">
      <x:c r="A5" s="67" t="str">
        <x:v>赣州市</x:v>
      </x:c>
      <x:c r="B5" s="67" t="str">
        <x:v>南康区</x:v>
      </x:c>
      <x:c r="C5" s="67" t="n">
        <x:v>83.52</x:v>
      </x:c>
      <x:c r="D5" s="67" t="n">
        <x:v>83.82</x:v>
      </x:c>
      <x:c r="E5" s="67" t="n">
        <x:f>D5-C5</x:f>
        <x:v>0.29999999999999716</x:v>
      </x:c>
      <x:c r="F5" s="69" t="n">
        <x:f>IFERROR(D5/C5-1,"")</x:f>
        <x:v>0.0035919540229885083</x:v>
      </x:c>
      <x:c r="G5" s="69" t="n">
        <x:v>0.6299</x:v>
      </x:c>
      <x:c r="H5" s="69" t="n">
        <x:v>0.6461</x:v>
      </x:c>
      <x:c r="I5" s="83" t="n">
        <x:f>(H5-G5)*100</x:f>
        <x:v>1.6199999999999992</x:v>
      </x:c>
      <x:c r="J5" s="67" t="n">
        <x:f>D5*10000</x:f>
        <x:v>838199.9999999999</x:v>
      </x:c>
      <x:c r="K5" s="67" t="str">
        <x:v>https://www.ganzhou.gov.cn/zfxxgk/c100093n1/202503/c7bfdc7911ac4c898c559e58a215509a.shtml</x:v>
      </x:c>
      <x:c r="L5" s="67" t="str">
        <x:v>https://www.ganzhou.gov.cn/zfxxgk/tjzdtjfx/202605/1b10c9c94cf1443f851d6523be5863d3.shtml</x:v>
      </x:c>
      <x:c r="M5" s="67" t="str">
        <x:v>原始人口以万人保留两位小数；城镇化率为官方数。暂未涵盖赣州经开区及蓉江新区（非100县级行政区）。</x:v>
      </x:c>
    </x:row>
    <x:row r="6" ht="25" customHeight="1">
      <x:c r="A6" s="67" t="str">
        <x:v>赣州市</x:v>
      </x:c>
      <x:c r="B6" s="67" t="str">
        <x:v>赣县区</x:v>
      </x:c>
      <x:c r="C6" s="67" t="n">
        <x:v>57.59</x:v>
      </x:c>
      <x:c r="D6" s="67" t="n">
        <x:v>57.34</x:v>
      </x:c>
      <x:c r="E6" s="67" t="n">
        <x:f>D6-C6</x:f>
        <x:v>-0.25</x:v>
      </x:c>
      <x:c r="F6" s="69" t="n">
        <x:f>IFERROR(D6/C6-1,"")</x:f>
        <x:v>-0.004341031429067499</x:v>
      </x:c>
      <x:c r="G6" s="69" t="n">
        <x:v>0.5724</x:v>
      </x:c>
      <x:c r="H6" s="69" t="n">
        <x:v>0.5848</x:v>
      </x:c>
      <x:c r="I6" s="83" t="n">
        <x:f>(H6-G6)*100</x:f>
        <x:v>1.2399999999999967</x:v>
      </x:c>
      <x:c r="J6" s="67" t="n">
        <x:f>D6*10000</x:f>
        <x:v>573400</x:v>
      </x:c>
      <x:c r="K6" s="67" t="str">
        <x:v>https://www.ganzhou.gov.cn/zfxxgk/c100093n1/202503/c7bfdc7911ac4c898c559e58a215509a.shtml</x:v>
      </x:c>
      <x:c r="L6" s="67" t="str">
        <x:v>https://www.ganzhou.gov.cn/zfxxgk/tjzdtjfx/202605/1b10c9c94cf1443f851d6523be5863d3.shtml</x:v>
      </x:c>
      <x:c r="M6" s="67" t="str">
        <x:v>原始人口以万人保留两位小数；城镇化率为官方数。暂未涵盖赣州经开区及蓉江新区（非100县级行政区）。</x:v>
      </x:c>
    </x:row>
    <x:row r="7" ht="25" customHeight="1">
      <x:c r="A7" s="67" t="str">
        <x:v>赣州市</x:v>
      </x:c>
      <x:c r="B7" s="67" t="str">
        <x:v>信丰县</x:v>
      </x:c>
      <x:c r="C7" s="67" t="n">
        <x:v>67.23</x:v>
      </x:c>
      <x:c r="D7" s="67" t="n">
        <x:v>67.24</x:v>
      </x:c>
      <x:c r="E7" s="67" t="n">
        <x:f>D7-C7</x:f>
        <x:v>0.009999999999990905</x:v>
      </x:c>
      <x:c r="F7" s="69" t="n">
        <x:f>IFERROR(D7/C7-1,"")</x:f>
        <x:v>0.00014874312063062334</x:v>
      </x:c>
      <x:c r="G7" s="69" t="n">
        <x:v>0.5600999999999999</x:v>
      </x:c>
      <x:c r="H7" s="69" t="n">
        <x:v>0.5752</x:v>
      </x:c>
      <x:c r="I7" s="83" t="n">
        <x:f>(H7-G7)*100</x:f>
        <x:v>1.5100000000000113</x:v>
      </x:c>
      <x:c r="J7" s="67" t="n">
        <x:f>D7*10000</x:f>
        <x:v>672400</x:v>
      </x:c>
      <x:c r="K7" s="67" t="str">
        <x:v>https://www.ganzhou.gov.cn/zfxxgk/c100093n1/202503/c7bfdc7911ac4c898c559e58a215509a.shtml</x:v>
      </x:c>
      <x:c r="L7" s="67" t="str">
        <x:v>https://www.ganzhou.gov.cn/zfxxgk/tjzdtjfx/202605/1b10c9c94cf1443f851d6523be5863d3.shtml</x:v>
      </x:c>
      <x:c r="M7" s="67" t="str">
        <x:v>原始人口以万人保留两位小数；城镇化率为官方数。暂未涵盖赣州经开区及蓉江新区（非100县级行政区）。</x:v>
      </x:c>
    </x:row>
    <x:row r="8" ht="25" customHeight="1">
      <x:c r="A8" s="67" t="str">
        <x:v>赣州市</x:v>
      </x:c>
      <x:c r="B8" s="67" t="str">
        <x:v>大余县</x:v>
      </x:c>
      <x:c r="C8" s="67" t="n">
        <x:v>26.13</x:v>
      </x:c>
      <x:c r="D8" s="67" t="n">
        <x:v>26.07</x:v>
      </x:c>
      <x:c r="E8" s="67" t="n">
        <x:f>D8-C8</x:f>
        <x:v>-0.05999999999999872</x:v>
      </x:c>
      <x:c r="F8" s="69" t="n">
        <x:f>IFERROR(D8/C8-1,"")</x:f>
        <x:v>-0.0022962112514350874</x:v>
      </x:c>
      <x:c r="G8" s="69" t="n">
        <x:v>0.5704</x:v>
      </x:c>
      <x:c r="H8" s="69" t="n">
        <x:v>0.5848</x:v>
      </x:c>
      <x:c r="I8" s="83" t="n">
        <x:f>(H8-G8)*100</x:f>
        <x:v>1.4399999999999968</x:v>
      </x:c>
      <x:c r="J8" s="67" t="n">
        <x:f>D8*10000</x:f>
        <x:v>260700</x:v>
      </x:c>
      <x:c r="K8" s="67" t="str">
        <x:v>https://www.ganzhou.gov.cn/zfxxgk/c100093n1/202503/c7bfdc7911ac4c898c559e58a215509a.shtml</x:v>
      </x:c>
      <x:c r="L8" s="67" t="str">
        <x:v>https://www.ganzhou.gov.cn/zfxxgk/tjzdtjfx/202605/1b10c9c94cf1443f851d6523be5863d3.shtml</x:v>
      </x:c>
      <x:c r="M8" s="67" t="str">
        <x:v>原始人口以万人保留两位小数；城镇化率为官方数。暂未涵盖赣州经开区及蓉江新区（非100县级行政区）。</x:v>
      </x:c>
    </x:row>
    <x:row r="9" ht="25" customHeight="1">
      <x:c r="A9" s="67" t="str">
        <x:v>赣州市</x:v>
      </x:c>
      <x:c r="B9" s="67" t="str">
        <x:v>上犹县</x:v>
      </x:c>
      <x:c r="C9" s="67" t="n">
        <x:v>26.69</x:v>
      </x:c>
      <x:c r="D9" s="67" t="n">
        <x:v>26.57</x:v>
      </x:c>
      <x:c r="E9" s="67" t="n">
        <x:f>D9-C9</x:f>
        <x:v>-0.120000000000001</x:v>
      </x:c>
      <x:c r="F9" s="69" t="n">
        <x:f>IFERROR(D9/C9-1,"")</x:f>
        <x:v>-0.0044960659423005644</x:v>
      </x:c>
      <x:c r="G9" s="69" t="n">
        <x:v>0.5196999999999999</x:v>
      </x:c>
      <x:c r="H9" s="69" t="n">
        <x:v>0.5344</x:v>
      </x:c>
      <x:c r="I9" s="83" t="n">
        <x:f>(H9-G9)*100</x:f>
        <x:v>1.4700000000000046</x:v>
      </x:c>
      <x:c r="J9" s="67" t="n">
        <x:f>D9*10000</x:f>
        <x:v>265700</x:v>
      </x:c>
      <x:c r="K9" s="67" t="str">
        <x:v>https://www.ganzhou.gov.cn/zfxxgk/c100093n1/202503/c7bfdc7911ac4c898c559e58a215509a.shtml</x:v>
      </x:c>
      <x:c r="L9" s="67" t="str">
        <x:v>https://www.ganzhou.gov.cn/zfxxgk/tjzdtjfx/202605/1b10c9c94cf1443f851d6523be5863d3.shtml</x:v>
      </x:c>
      <x:c r="M9" s="67" t="str">
        <x:v>原始人口以万人保留两位小数；城镇化率为官方数。暂未涵盖赣州经开区及蓉江新区（非100县级行政区）。</x:v>
      </x:c>
    </x:row>
    <x:row r="10" ht="25" customHeight="1">
      <x:c r="A10" s="67" t="str">
        <x:v>赣州市</x:v>
      </x:c>
      <x:c r="B10" s="67" t="str">
        <x:v>崇义县</x:v>
      </x:c>
      <x:c r="C10" s="67" t="n">
        <x:v>17.63</x:v>
      </x:c>
      <x:c r="D10" s="67" t="n">
        <x:v>17.57</x:v>
      </x:c>
      <x:c r="E10" s="67" t="n">
        <x:f>D10-C10</x:f>
        <x:v>-0.05999999999999872</x:v>
      </x:c>
      <x:c r="F10" s="69" t="n">
        <x:f>IFERROR(D10/C10-1,"")</x:f>
        <x:v>-0.003403289846851898</x:v>
      </x:c>
      <x:c r="G10" s="69" t="n">
        <x:v>0.5042</x:v>
      </x:c>
      <x:c r="H10" s="69" t="n">
        <x:v>0.5179</x:v>
      </x:c>
      <x:c r="I10" s="83" t="n">
        <x:f>(H10-G10)*100</x:f>
        <x:v>1.3700000000000045</x:v>
      </x:c>
      <x:c r="J10" s="67" t="n">
        <x:f>D10*10000</x:f>
        <x:v>175700</x:v>
      </x:c>
      <x:c r="K10" s="67" t="str">
        <x:v>https://www.ganzhou.gov.cn/zfxxgk/c100093n1/202503/c7bfdc7911ac4c898c559e58a215509a.shtml</x:v>
      </x:c>
      <x:c r="L10" s="67" t="str">
        <x:v>https://www.ganzhou.gov.cn/zfxxgk/tjzdtjfx/202605/1b10c9c94cf1443f851d6523be5863d3.shtml</x:v>
      </x:c>
      <x:c r="M10" s="67" t="str">
        <x:v>原始人口以万人保留两位小数；城镇化率为官方数。暂未涵盖赣州经开区及蓉江新区（非100县级行政区）。</x:v>
      </x:c>
    </x:row>
    <x:row r="11" ht="25" customHeight="1">
      <x:c r="A11" s="67" t="str">
        <x:v>赣州市</x:v>
      </x:c>
      <x:c r="B11" s="67" t="str">
        <x:v>安远县</x:v>
      </x:c>
      <x:c r="C11" s="67" t="n">
        <x:v>34.33</x:v>
      </x:c>
      <x:c r="D11" s="67" t="n">
        <x:v>34.22</x:v>
      </x:c>
      <x:c r="E11" s="67" t="n">
        <x:f>D11-C11</x:f>
        <x:v>-0.10999999999999943</x:v>
      </x:c>
      <x:c r="F11" s="69" t="n">
        <x:f>IFERROR(D11/C11-1,"")</x:f>
        <x:v>-0.0032041945819982764</x:v>
      </x:c>
      <x:c r="G11" s="69" t="n">
        <x:v>0.49920000000000003</x:v>
      </x:c>
      <x:c r="H11" s="69" t="n">
        <x:v>0.5151</x:v>
      </x:c>
      <x:c r="I11" s="83" t="n">
        <x:f>(H11-G11)*100</x:f>
        <x:v>1.589999999999997</x:v>
      </x:c>
      <x:c r="J11" s="67" t="n">
        <x:f>D11*10000</x:f>
        <x:v>342200</x:v>
      </x:c>
      <x:c r="K11" s="67" t="str">
        <x:v>https://www.ganzhou.gov.cn/zfxxgk/c100093n1/202503/c7bfdc7911ac4c898c559e58a215509a.shtml</x:v>
      </x:c>
      <x:c r="L11" s="67" t="str">
        <x:v>https://www.ganzhou.gov.cn/zfxxgk/tjzdtjfx/202605/1b10c9c94cf1443f851d6523be5863d3.shtml</x:v>
      </x:c>
      <x:c r="M11" s="67" t="str">
        <x:v>原始人口以万人保留两位小数；城镇化率为官方数。暂未涵盖赣州经开区及蓉江新区（非100县级行政区）。</x:v>
      </x:c>
    </x:row>
    <x:row r="12" ht="25" customHeight="1">
      <x:c r="A12" s="67" t="str">
        <x:v>赣州市</x:v>
      </x:c>
      <x:c r="B12" s="67" t="str">
        <x:v>定南县</x:v>
      </x:c>
      <x:c r="C12" s="67" t="n">
        <x:v>20.85</x:v>
      </x:c>
      <x:c r="D12" s="67" t="n">
        <x:v>20.97</x:v>
      </x:c>
      <x:c r="E12" s="67" t="n">
        <x:f>D12-C12</x:f>
        <x:v>0.11999999999999744</x:v>
      </x:c>
      <x:c r="F12" s="69" t="n">
        <x:f>IFERROR(D12/C12-1,"")</x:f>
        <x:v>0.005755395683453068</x:v>
      </x:c>
      <x:c r="G12" s="69" t="n">
        <x:v>0.669</x:v>
      </x:c>
      <x:c r="H12" s="69" t="n">
        <x:v>0.6812999999999999</x:v>
      </x:c>
      <x:c r="I12" s="83" t="n">
        <x:f>(H12-G12)*100</x:f>
        <x:v>1.2299999999999867</x:v>
      </x:c>
      <x:c r="J12" s="67" t="n">
        <x:f>D12*10000</x:f>
        <x:v>209700</x:v>
      </x:c>
      <x:c r="K12" s="67" t="str">
        <x:v>https://www.ganzhou.gov.cn/zfxxgk/c100093n1/202503/c7bfdc7911ac4c898c559e58a215509a.shtml</x:v>
      </x:c>
      <x:c r="L12" s="67" t="str">
        <x:v>https://www.ganzhou.gov.cn/zfxxgk/tjzdtjfx/202605/1b10c9c94cf1443f851d6523be5863d3.shtml</x:v>
      </x:c>
      <x:c r="M12" s="67" t="str">
        <x:v>原始人口以万人保留两位小数；城镇化率为官方数。暂未涵盖赣州经开区及蓉江新区（非100县级行政区）。</x:v>
      </x:c>
    </x:row>
    <x:row r="13" ht="25" customHeight="1">
      <x:c r="A13" s="67" t="str">
        <x:v>赣州市</x:v>
      </x:c>
      <x:c r="B13" s="67" t="str">
        <x:v>全南县</x:v>
      </x:c>
      <x:c r="C13" s="67" t="n">
        <x:v>16.81</x:v>
      </x:c>
      <x:c r="D13" s="67" t="n">
        <x:v>16.8</x:v>
      </x:c>
      <x:c r="E13" s="67" t="n">
        <x:f>D13-C13</x:f>
        <x:v>-0.00999999999999801</x:v>
      </x:c>
      <x:c r="F13" s="69" t="n">
        <x:f>IFERROR(D13/C13-1,"")</x:f>
        <x:v>-0.0005948839976203102</x:v>
      </x:c>
      <x:c r="G13" s="69" t="n">
        <x:v>0.5816</x:v>
      </x:c>
      <x:c r="H13" s="69" t="n">
        <x:v>0.5953</x:v>
      </x:c>
      <x:c r="I13" s="83" t="n">
        <x:f>(H13-G13)*100</x:f>
        <x:v>1.3700000000000045</x:v>
      </x:c>
      <x:c r="J13" s="67" t="n">
        <x:f>D13*10000</x:f>
        <x:v>168000</x:v>
      </x:c>
      <x:c r="K13" s="67" t="str">
        <x:v>https://www.ganzhou.gov.cn/zfxxgk/c100093n1/202503/c7bfdc7911ac4c898c559e58a215509a.shtml</x:v>
      </x:c>
      <x:c r="L13" s="67" t="str">
        <x:v>https://www.ganzhou.gov.cn/zfxxgk/tjzdtjfx/202605/1b10c9c94cf1443f851d6523be5863d3.shtml</x:v>
      </x:c>
      <x:c r="M13" s="67" t="str">
        <x:v>原始人口以万人保留两位小数；城镇化率为官方数。暂未涵盖赣州经开区及蓉江新区（非100县级行政区）。</x:v>
      </x:c>
    </x:row>
    <x:row r="14" ht="25" customHeight="1">
      <x:c r="A14" s="67" t="str">
        <x:v>赣州市</x:v>
      </x:c>
      <x:c r="B14" s="67" t="str">
        <x:v>宁都县</x:v>
      </x:c>
      <x:c r="C14" s="67" t="n">
        <x:v>69.29</x:v>
      </x:c>
      <x:c r="D14" s="67" t="n">
        <x:v>69.05</x:v>
      </x:c>
      <x:c r="E14" s="67" t="n">
        <x:f>D14-C14</x:f>
        <x:v>-0.2400000000000091</x:v>
      </x:c>
      <x:c r="F14" s="69" t="n">
        <x:f>IFERROR(D14/C14-1,"")</x:f>
        <x:v>-0.0034637032760861386</x:v>
      </x:c>
      <x:c r="G14" s="69" t="n">
        <x:v>0.5257999999999999</x:v>
      </x:c>
      <x:c r="H14" s="69" t="n">
        <x:v>0.541</x:v>
      </x:c>
      <x:c r="I14" s="83" t="n">
        <x:f>(H14-G14)*100</x:f>
        <x:v>1.5200000000000102</x:v>
      </x:c>
      <x:c r="J14" s="67" t="n">
        <x:f>D14*10000</x:f>
        <x:v>690500</x:v>
      </x:c>
      <x:c r="K14" s="67" t="str">
        <x:v>https://www.ganzhou.gov.cn/zfxxgk/c100093n1/202503/c7bfdc7911ac4c898c559e58a215509a.shtml</x:v>
      </x:c>
      <x:c r="L14" s="67" t="str">
        <x:v>https://www.ganzhou.gov.cn/zfxxgk/tjzdtjfx/202605/1b10c9c94cf1443f851d6523be5863d3.shtml</x:v>
      </x:c>
      <x:c r="M14" s="67" t="str">
        <x:v>原始人口以万人保留两位小数；城镇化率为官方数。暂未涵盖赣州经开区及蓉江新区（非100县级行政区）。</x:v>
      </x:c>
    </x:row>
    <x:row r="15" ht="25" customHeight="1">
      <x:c r="A15" s="67" t="str">
        <x:v>赣州市</x:v>
      </x:c>
      <x:c r="B15" s="67" t="str">
        <x:v>于都县</x:v>
      </x:c>
      <x:c r="C15" s="67" t="n">
        <x:v>89.96</x:v>
      </x:c>
      <x:c r="D15" s="67" t="n">
        <x:v>89.62</x:v>
      </x:c>
      <x:c r="E15" s="67" t="n">
        <x:f>D15-C15</x:f>
        <x:v>-0.3399999999999892</x:v>
      </x:c>
      <x:c r="F15" s="69" t="n">
        <x:f>IFERROR(D15/C15-1,"")</x:f>
        <x:v>-0.003779457536682851</x:v>
      </x:c>
      <x:c r="G15" s="69" t="n">
        <x:v>0.4738</x:v>
      </x:c>
      <x:c r="H15" s="69" t="n">
        <x:v>0.489</x:v>
      </x:c>
      <x:c r="I15" s="83" t="n">
        <x:f>(H15-G15)*100</x:f>
        <x:v>1.5199999999999991</x:v>
      </x:c>
      <x:c r="J15" s="67" t="n">
        <x:f>D15*10000</x:f>
        <x:v>896200</x:v>
      </x:c>
      <x:c r="K15" s="67" t="str">
        <x:v>https://www.ganzhou.gov.cn/zfxxgk/c100093n1/202503/c7bfdc7911ac4c898c559e58a215509a.shtml</x:v>
      </x:c>
      <x:c r="L15" s="67" t="str">
        <x:v>https://www.ganzhou.gov.cn/zfxxgk/tjzdtjfx/202605/1b10c9c94cf1443f851d6523be5863d3.shtml</x:v>
      </x:c>
      <x:c r="M15" s="67" t="str">
        <x:v>原始人口以万人保留两位小数；城镇化率为官方数。暂未涵盖赣州经开区及蓉江新区（非100县级行政区）。</x:v>
      </x:c>
    </x:row>
    <x:row r="16" ht="25" customHeight="1">
      <x:c r="A16" s="67" t="str">
        <x:v>赣州市</x:v>
      </x:c>
      <x:c r="B16" s="67" t="str">
        <x:v>兴国县</x:v>
      </x:c>
      <x:c r="C16" s="67" t="n">
        <x:v>70.98</x:v>
      </x:c>
      <x:c r="D16" s="67" t="n">
        <x:v>70.63</x:v>
      </x:c>
      <x:c r="E16" s="67" t="n">
        <x:f>D16-C16</x:f>
        <x:v>-0.3500000000000085</x:v>
      </x:c>
      <x:c r="F16" s="69" t="n">
        <x:f>IFERROR(D16/C16-1,"")</x:f>
        <x:v>-0.004930966469428144</x:v>
      </x:c>
      <x:c r="G16" s="69" t="n">
        <x:v>0.4875</x:v>
      </x:c>
      <x:c r="H16" s="69" t="n">
        <x:v>0.5035000000000001</x:v>
      </x:c>
      <x:c r="I16" s="83" t="n">
        <x:f>(H16-G16)*100</x:f>
        <x:v>1.600000000000007</x:v>
      </x:c>
      <x:c r="J16" s="67" t="n">
        <x:f>D16*10000</x:f>
        <x:v>706300</x:v>
      </x:c>
      <x:c r="K16" s="67" t="str">
        <x:v>https://www.ganzhou.gov.cn/zfxxgk/c100093n1/202503/c7bfdc7911ac4c898c559e58a215509a.shtml</x:v>
      </x:c>
      <x:c r="L16" s="67" t="str">
        <x:v>https://www.ganzhou.gov.cn/zfxxgk/tjzdtjfx/202605/1b10c9c94cf1443f851d6523be5863d3.shtml</x:v>
      </x:c>
      <x:c r="M16" s="67" t="str">
        <x:v>原始人口以万人保留两位小数；城镇化率为官方数。暂未涵盖赣州经开区及蓉江新区（非100县级行政区）。</x:v>
      </x:c>
    </x:row>
    <x:row r="17" ht="25" customHeight="1">
      <x:c r="A17" s="67" t="str">
        <x:v>赣州市</x:v>
      </x:c>
      <x:c r="B17" s="67" t="str">
        <x:v>会昌县</x:v>
      </x:c>
      <x:c r="C17" s="67" t="n">
        <x:v>44.93</x:v>
      </x:c>
      <x:c r="D17" s="67" t="n">
        <x:v>45.08</x:v>
      </x:c>
      <x:c r="E17" s="67" t="n">
        <x:f>D17-C17</x:f>
        <x:v>0.14999999999999858</x:v>
      </x:c>
      <x:c r="F17" s="69" t="n">
        <x:f>IFERROR(D17/C17-1,"")</x:f>
        <x:v>0.0033385265969285705</x:v>
      </x:c>
      <x:c r="G17" s="69" t="n">
        <x:v>0.5781000000000001</x:v>
      </x:c>
      <x:c r="H17" s="69" t="n">
        <x:v>0.5922999999999999</x:v>
      </x:c>
      <x:c r="I17" s="83" t="n">
        <x:f>(H17-G17)*100</x:f>
        <x:v>1.419999999999988</x:v>
      </x:c>
      <x:c r="J17" s="67" t="n">
        <x:f>D17*10000</x:f>
        <x:v>450800</x:v>
      </x:c>
      <x:c r="K17" s="67" t="str">
        <x:v>https://www.ganzhou.gov.cn/zfxxgk/c100093n1/202503/c7bfdc7911ac4c898c559e58a215509a.shtml</x:v>
      </x:c>
      <x:c r="L17" s="67" t="str">
        <x:v>https://www.ganzhou.gov.cn/zfxxgk/tjzdtjfx/202605/1b10c9c94cf1443f851d6523be5863d3.shtml</x:v>
      </x:c>
      <x:c r="M17" s="67" t="str">
        <x:v>原始人口以万人保留两位小数；城镇化率为官方数。暂未涵盖赣州经开区及蓉江新区（非100县级行政区）。</x:v>
      </x:c>
    </x:row>
    <x:row r="18" ht="25" customHeight="1">
      <x:c r="A18" s="67" t="str">
        <x:v>赣州市</x:v>
      </x:c>
      <x:c r="B18" s="67" t="str">
        <x:v>寻乌县</x:v>
      </x:c>
      <x:c r="C18" s="67" t="n">
        <x:v>27.97</x:v>
      </x:c>
      <x:c r="D18" s="67" t="n">
        <x:v>27.97</x:v>
      </x:c>
      <x:c r="E18" s="67" t="n">
        <x:f>D18-C18</x:f>
        <x:v>0</x:v>
      </x:c>
      <x:c r="F18" s="69" t="n">
        <x:f>IFERROR(D18/C18-1,"")</x:f>
        <x:v>0</x:v>
      </x:c>
      <x:c r="G18" s="69" t="n">
        <x:v>0.5424</x:v>
      </x:c>
      <x:c r="H18" s="69" t="n">
        <x:v>0.5569</x:v>
      </x:c>
      <x:c r="I18" s="83" t="n">
        <x:f>(H18-G18)*100</x:f>
        <x:v>1.4499999999999957</x:v>
      </x:c>
      <x:c r="J18" s="67" t="n">
        <x:f>D18*10000</x:f>
        <x:v>279700</x:v>
      </x:c>
      <x:c r="K18" s="67" t="str">
        <x:v>https://www.ganzhou.gov.cn/zfxxgk/c100093n1/202503/c7bfdc7911ac4c898c559e58a215509a.shtml</x:v>
      </x:c>
      <x:c r="L18" s="67" t="str">
        <x:v>https://www.ganzhou.gov.cn/zfxxgk/tjzdtjfx/202605/1b10c9c94cf1443f851d6523be5863d3.shtml</x:v>
      </x:c>
      <x:c r="M18" s="67" t="str">
        <x:v>原始人口以万人保留两位小数；城镇化率为官方数。暂未涵盖赣州经开区及蓉江新区（非100县级行政区）。</x:v>
      </x:c>
    </x:row>
    <x:row r="19" ht="25" customHeight="1">
      <x:c r="A19" s="67" t="str">
        <x:v>赣州市</x:v>
      </x:c>
      <x:c r="B19" s="67" t="str">
        <x:v>石城县</x:v>
      </x:c>
      <x:c r="C19" s="67" t="n">
        <x:v>28.12</x:v>
      </x:c>
      <x:c r="D19" s="67" t="n">
        <x:v>28.05</x:v>
      </x:c>
      <x:c r="E19" s="67" t="n">
        <x:f>D19-C19</x:f>
        <x:v>-0.07000000000000028</x:v>
      </x:c>
      <x:c r="F19" s="69" t="n">
        <x:f>IFERROR(D19/C19-1,"")</x:f>
        <x:v>-0.0024893314366998265</x:v>
      </x:c>
      <x:c r="G19" s="69" t="n">
        <x:v>0.5176</x:v>
      </x:c>
      <x:c r="H19" s="69" t="n">
        <x:v>0.5334</x:v>
      </x:c>
      <x:c r="I19" s="83" t="n">
        <x:f>(H19-G19)*100</x:f>
        <x:v>1.5800000000000036</x:v>
      </x:c>
      <x:c r="J19" s="67" t="n">
        <x:f>D19*10000</x:f>
        <x:v>280500</x:v>
      </x:c>
      <x:c r="K19" s="67" t="str">
        <x:v>https://www.ganzhou.gov.cn/zfxxgk/c100093n1/202503/c7bfdc7911ac4c898c559e58a215509a.shtml</x:v>
      </x:c>
      <x:c r="L19" s="67" t="str">
        <x:v>https://www.ganzhou.gov.cn/zfxxgk/tjzdtjfx/202605/1b10c9c94cf1443f851d6523be5863d3.shtml</x:v>
      </x:c>
      <x:c r="M19" s="67" t="str">
        <x:v>原始人口以万人保留两位小数；城镇化率为官方数。暂未涵盖赣州经开区及蓉江新区（非100县级行政区）。</x:v>
      </x:c>
    </x:row>
    <x:row r="20" ht="25" customHeight="1">
      <x:c r="A20" s="67" t="str">
        <x:v>赣州市</x:v>
      </x:c>
      <x:c r="B20" s="67" t="str">
        <x:v>瑞金市</x:v>
      </x:c>
      <x:c r="C20" s="67" t="n">
        <x:v>61.06</x:v>
      </x:c>
      <x:c r="D20" s="67" t="n">
        <x:v>60.67</x:v>
      </x:c>
      <x:c r="E20" s="67" t="n">
        <x:f>D20-C20</x:f>
        <x:v>-0.39000000000000057</x:v>
      </x:c>
      <x:c r="F20" s="69" t="n">
        <x:f>IFERROR(D20/C20-1,"")</x:f>
        <x:v>-0.0063871601703242575</x:v>
      </x:c>
      <x:c r="G20" s="69" t="n">
        <x:v>0.5368999999999999</x:v>
      </x:c>
      <x:c r="H20" s="69" t="n">
        <x:v>0.5513</x:v>
      </x:c>
      <x:c r="I20" s="83" t="n">
        <x:f>(H20-G20)*100</x:f>
        <x:v>1.440000000000008</x:v>
      </x:c>
      <x:c r="J20" s="67" t="n">
        <x:f>D20*10000</x:f>
        <x:v>606700</x:v>
      </x:c>
      <x:c r="K20" s="67" t="str">
        <x:v>https://www.ganzhou.gov.cn/zfxxgk/c100093n1/202503/c7bfdc7911ac4c898c559e58a215509a.shtml</x:v>
      </x:c>
      <x:c r="L20" s="67" t="str">
        <x:v>https://www.ganzhou.gov.cn/zfxxgk/tjzdtjfx/202605/1b10c9c94cf1443f851d6523be5863d3.shtml</x:v>
      </x:c>
      <x:c r="M20" s="67" t="str">
        <x:v>原始人口以万人保留两位小数；城镇化率为官方数。暂未涵盖赣州经开区及蓉江新区（非100县级行政区）。</x:v>
      </x:c>
    </x:row>
    <x:row r="21" ht="25" customHeight="1">
      <x:c r="A21" s="67" t="str">
        <x:v>赣州市</x:v>
      </x:c>
      <x:c r="B21" s="67" t="str">
        <x:v>龙南市</x:v>
      </x:c>
      <x:c r="C21" s="67" t="n">
        <x:v>31.63</x:v>
      </x:c>
      <x:c r="D21" s="67" t="n">
        <x:v>31.67</x:v>
      </x:c>
      <x:c r="E21" s="67" t="n">
        <x:f>D21-C21</x:f>
        <x:v>0.0400000000000027</x:v>
      </x:c>
      <x:c r="F21" s="69" t="n">
        <x:f>IFERROR(D21/C21-1,"")</x:f>
        <x:v>0.0012646221941194913</x:v>
      </x:c>
      <x:c r="G21" s="69" t="n">
        <x:v>0.6778</x:v>
      </x:c>
      <x:c r="H21" s="69" t="n">
        <x:v>0.6887000000000001</x:v>
      </x:c>
      <x:c r="I21" s="83" t="n">
        <x:f>(H21-G21)*100</x:f>
        <x:v>1.0900000000000132</x:v>
      </x:c>
      <x:c r="J21" s="67" t="n">
        <x:f>D21*10000</x:f>
        <x:v>316700</x:v>
      </x:c>
      <x:c r="K21" s="67" t="str">
        <x:v>https://www.ganzhou.gov.cn/zfxxgk/c100093n1/202503/c7bfdc7911ac4c898c559e58a215509a.shtml</x:v>
      </x:c>
      <x:c r="L21" s="67" t="str">
        <x:v>https://www.ganzhou.gov.cn/zfxxgk/tjzdtjfx/202605/1b10c9c94cf1443f851d6523be5863d3.shtml</x:v>
      </x:c>
      <x:c r="M21" s="67" t="str">
        <x:v>原始人口以万人保留两位小数；城镇化率为官方数。暂未涵盖赣州经开区及蓉江新区（非100县级行政区）。</x:v>
      </x:c>
    </x:row>
    <x:row r="23" ht="32" customHeight="1">
      <x:c r="A23" s="75" t="str">
        <x:v>提示：城市报告还列有赣州经济技术开发区、蓉江新区，属于功能区，不能不经处理就与100个县级行政区重复相加。</x:v>
      </x:c>
      <x:c r="B23" s="75"/>
      <x:c r="C23" s="75"/>
      <x:c r="D23" s="75"/>
      <x:c r="E23" s="75"/>
      <x:c r="F23" s="75"/>
      <x:c r="G23" s="75"/>
      <x:c r="H23" s="75"/>
      <x:c r="I23" s="75"/>
      <x:c r="J23" s="75"/>
      <x:c r="K23" s="75"/>
      <x:c r="L23" s="75"/>
      <x:c r="M23" s="75"/>
    </x:row>
    <x:row r="26">
      <x:c r="A26" s="64" t="str">
        <x:v>统计范围</x:v>
      </x:c>
      <x:c r="B26" s="64" t="str">
        <x:v>2024人口_万人</x:v>
      </x:c>
      <x:c r="C26" s="64" t="str">
        <x:v>2025人口_万人</x:v>
      </x:c>
      <x:c r="D26" s="64" t="str">
        <x:v>增减_万人</x:v>
      </x:c>
      <x:c r="E26" s="64" t="str">
        <x:v>备注</x:v>
      </x:c>
      <x:c r="F26" s="64" t="str"/>
      <x:c r="G26" s="64" t="str"/>
      <x:c r="H26" s="64" t="str"/>
      <x:c r="I26" s="64" t="str"/>
      <x:c r="J26" s="64" t="str"/>
    </x:row>
    <x:row r="27">
      <x:c r="A27" t="str">
        <x:v>法定18县区</x:v>
      </x:c>
      <x:c r="B27" t="n">
        <x:v>846.24</x:v>
      </x:c>
      <x:c r="C27" t="n">
        <x:v>845.14</x:v>
      </x:c>
      <x:c r="D27" t="n">
        <x:f>C27-B27</x:f>
        <x:v>-1.1000000000000227</x:v>
      </x:c>
      <x:c r="E27" t="str">
        <x:v>县级行政区口径</x:v>
      </x:c>
    </x:row>
    <x:row r="28">
      <x:c r="A28" t="str">
        <x:v>赣州经开区</x:v>
      </x:c>
      <x:c r="B28" t="n">
        <x:v>31.04</x:v>
      </x:c>
      <x:c r="C28" t="n">
        <x:v>31.41</x:v>
      </x:c>
      <x:c r="D28" t="n">
        <x:f>C28-B28</x:f>
        <x:v>0.370000000000001</x:v>
      </x:c>
      <x:c r="E28" t="str">
        <x:v>功能区，不能当作新法定县</x:v>
      </x:c>
    </x:row>
    <x:row r="29">
      <x:c r="A29" t="str">
        <x:v>赣州蓉江新区</x:v>
      </x:c>
      <x:c r="B29" t="n">
        <x:v>18.78</x:v>
      </x:c>
      <x:c r="C29" t="n">
        <x:v>19.07</x:v>
      </x:c>
      <x:c r="D29" t="n">
        <x:f>C29-B29</x:f>
        <x:v>0.28999999999999915</x:v>
      </x:c>
      <x:c r="E29" t="str">
        <x:v>功能区，不能当作新法定县</x:v>
      </x:c>
    </x:row>
    <x:row r="30">
      <x:c r="A30" t="str">
        <x:v>赣州市合计</x:v>
      </x:c>
      <x:c r="B30" t="n">
        <x:v>896.06</x:v>
      </x:c>
      <x:c r="C30" t="n">
        <x:v>895.62</x:v>
      </x:c>
      <x:c r="D30" t="n">
        <x:f>C30-B30</x:f>
        <x:v>-0.4399999999999409</x:v>
      </x:c>
      <x:c r="E30" t="str">
        <x:v>全市官方公布数</x:v>
      </x:c>
    </x:row>
    <x:row r="32" ht="42" customHeight="1">
      <x:c r="A32" s="85" t="str">
        <x:v>观察：法定18县区合计减少约1.10万人；两个功能区合计增加约0.66万人；全市减少约0.44万人。人口集中趋势可能伴随产业园区与新城发展，但这不是人口迁移流向的直接证明。</x:v>
      </x:c>
      <x:c r="B32" s="85"/>
      <x:c r="C32" s="85"/>
      <x:c r="D32" s="85"/>
      <x:c r="E32" s="85"/>
      <x:c r="F32" s="85"/>
      <x:c r="G32" s="85"/>
      <x:c r="H32" s="85"/>
      <x:c r="I32" s="85"/>
      <x:c r="J32" s="85"/>
      <x:c r="K32" s="85"/>
      <x:c r="L32" s="85"/>
      <x:c r="M32" s="85"/>
    </x:row>
  </x:sheetData>
  <x:mergeCells>
    <x:mergeCell ref="A1:M1"/>
    <x:mergeCell ref="A23:M23"/>
    <x:mergeCell ref="A32:M32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24" hidden="0" customWidth="1"/>
    <x:col min="3" max="3" width="75" hidden="0" customWidth="1"/>
    <x:col min="4" max="4" width="52" hidden="0" customWidth="1"/>
    <x:col min="5" max="5" width="64" hidden="0" customWidth="1"/>
    <x:col min="6" max="6" width="62" hidden="0" customWidth="1"/>
    <x:col min="7" max="7" width="70" hidden="0" customWidth="1"/>
    <x:col min="8" max="8" width="28" hidden="0" customWidth="1"/>
  </x:cols>
  <x:sheetData>
    <x:row r="1" ht="34" customHeight="1">
      <x:c r="A1" s="62" t="str">
        <x:v>研究问题、可计算指标与缺失数据（持续采集优先级）</x:v>
      </x:c>
      <x:c r="B1" s="62"/>
      <x:c r="C1" s="62"/>
      <x:c r="D1" s="62"/>
      <x:c r="E1" s="62"/>
      <x:c r="F1" s="62"/>
      <x:c r="G1" s="62"/>
      <x:c r="H1" s="62"/>
    </x:row>
    <x:row r="3" ht="34" customHeight="1">
      <x:c r="A3" s="66" t="str">
        <x:v>优先级</x:v>
      </x:c>
      <x:c r="B3" s="66" t="str">
        <x:v>分析主题</x:v>
      </x:c>
      <x:c r="C3" s="66" t="str">
        <x:v>核心指标及计算定义</x:v>
      </x:c>
      <x:c r="D3" s="66" t="str">
        <x:v>当前证据覆盖</x:v>
      </x:c>
      <x:c r="E3" s="66" t="str">
        <x:v>研究问题/潜在解释</x:v>
      </x:c>
      <x:c r="F3" s="66" t="str">
        <x:v>关键混杂因素</x:v>
      </x:c>
      <x:c r="G3" s="66" t="str">
        <x:v>建议新增数据源</x:v>
      </x:c>
      <x:c r="H3" s="66" t="str">
        <x:v>能否现在下结论</x:v>
      </x:c>
    </x:row>
    <x:row r="4" ht="56" customHeight="1">
      <x:c r="A4" s="82" t="str">
        <x:v>P0</x:v>
      </x:c>
      <x:c r="B4" s="82" t="str">
        <x:v>三制度养老金占比</x:v>
      </x:c>
      <x:c r="C4" s="82" t="str">
        <x:v>金额份额=制度养老金发放/三制度发放总额；人数份额=制度领取人数/总人数</x:v>
      </x:c>
      <x:c r="D4" s="82" t="str">
        <x:v>2025峡江、吉安两县仅金额齐；峡江人数金额全齐</x:v>
      </x:c>
      <x:c r="E4" s="82" t="str">
        <x:v>差距来自群体人数结构，还是组内人均待遇差异？</x:v>
      </x:c>
      <x:c r="F4" s="82" t="str">
        <x:v>小县样本选择偏差、支付归属、职业年金是否包含</x:v>
      </x:c>
      <x:c r="G4" s="82" t="str">
        <x:v>各县人社局养老金社会化发放明细、统计公报</x:v>
      </x:c>
      <x:c r="H4" s="82" t="str">
        <x:v>仅对披露县成立</x:v>
      </x:c>
    </x:row>
    <x:row r="5" ht="56" customHeight="1">
      <x:c r="A5" s="82" t="str">
        <x:v>P0</x:v>
      </x:c>
      <x:c r="B5" s="82" t="str">
        <x:v>机关/企业/居民人均差异</x:v>
      </x:c>
      <x:c r="C5" s="82" t="str">
        <x:v>月估算=年度养老金发放额×10000/公布待遇人数/12</x:v>
      </x:c>
      <x:c r="D5" s="82" t="str">
        <x:v>峡江2024-2025各3群体</x:v>
      </x:c>
      <x:c r="E5" s="82" t="str">
        <x:v>同缴费年限、年龄、职级、工资基数后还有多少差异？</x:v>
      </x:c>
      <x:c r="F5" s="82" t="str">
        <x:v>退休人口年内变动、补发、年金、不同退休年龄</x:v>
      </x:c>
      <x:c r="G5" s="82" t="str">
        <x:v>各县待遇人数月均数、年龄/工龄分布、职业年金</x:v>
      </x:c>
      <x:c r="H5" s="82" t="str">
        <x:v>现仅能做粗均值</x:v>
      </x:c>
    </x:row>
    <x:row r="6" ht="56" customHeight="1">
      <x:c r="A6" s="82" t="str">
        <x:v>P0</x:v>
      </x:c>
      <x:c r="B6" s="82" t="str">
        <x:v>县财政补贴与养老基金</x:v>
      </x:c>
      <x:c r="C6" s="82" t="str">
        <x:v>按险种财政补贴收入/待遇领取人数，区分中央/省/市/县补贴</x:v>
      </x:c>
      <x:c r="D6" s="82" t="str">
        <x:v>现仅全省社保基金汇总，县级不完备</x:v>
      </x:c>
      <x:c r="E6" s="82" t="str">
        <x:v>机关事业单位基金与居民基金的实际财政负担有何差异？</x:v>
      </x:c>
      <x:c r="F6" s="82" t="str">
        <x:v>各险种统筹层级不同，内部拨付与转移支付重复</x:v>
      </x:c>
      <x:c r="G6" s="82" t="str">
        <x:v>社保基金预算决算、地方财政补助明细和国库拨款</x:v>
      </x:c>
      <x:c r="H6" s="82" t="str">
        <x:v>当前不能测算</x:v>
      </x:c>
    </x:row>
    <x:row r="7" ht="56" customHeight="1">
      <x:c r="A7" s="82" t="str">
        <x:v>P1</x:v>
      </x:c>
      <x:c r="B7" s="82" t="str">
        <x:v>人口老龄化与制度结构</x:v>
      </x:c>
      <x:c r="C7" s="82" t="str">
        <x:v>60+占比=常住60+人口/常住人口；居民待遇人数/养老制度参保人数分开算</x:v>
      </x:c>
      <x:c r="D7" s="82" t="str">
        <x:v>遂川县常住人口年龄完整，石城仅户籍60+</x:v>
      </x:c>
      <x:c r="E7" s="82" t="str">
        <x:v>人口老龄化是否关联县级养老金支出结构？</x:v>
      </x:c>
      <x:c r="F7" s="82" t="str">
        <x:v>户籍与常住人口不同、跨地享待、统计抽样</x:v>
      </x:c>
      <x:c r="G7" s="82" t="str">
        <x:v>人口变动调查、常住老龄人口、养老金实际居住地</x:v>
      </x:c>
      <x:c r="H7" s="82" t="str">
        <x:v>待更多同口径县</x:v>
      </x:c>
    </x:row>
    <x:row r="8" ht="56" customHeight="1">
      <x:c r="A8" s="82" t="str">
        <x:v>P1</x:v>
      </x:c>
      <x:c r="B8" s="82" t="str">
        <x:v>缴费与领取者结构</x:v>
      </x:c>
      <x:c r="C8" s="82" t="str">
        <x:v>在职缴费人数/退休领取人数；每制度分别计算</x:v>
      </x:c>
      <x:c r="D8" s="82" t="str">
        <x:v>峡江2024-2025可计算</x:v>
      </x:c>
      <x:c r="E8" s="82" t="str">
        <x:v>为什么当地征缴额不等于待遇发放额？</x:v>
      </x:c>
      <x:c r="F8" s="82" t="str">
        <x:v>统筹调剂、财政补贴、基金结余、异地退休</x:v>
      </x:c>
      <x:c r="G8" s="82" t="str">
        <x:v>在职月均缴费人数、社会保险基金调剂分项</x:v>
      </x:c>
      <x:c r="H8" s="82" t="str">
        <x:v>可描述不可定义亏空</x:v>
      </x:c>
    </x:row>
    <x:row r="9" ht="56" customHeight="1">
      <x:c r="A9" s="82" t="str">
        <x:v>P1</x:v>
      </x:c>
      <x:c r="B9" s="82" t="str">
        <x:v>人口迁移与岗位结构</x:v>
      </x:c>
      <x:c r="C9" s="82" t="str">
        <x:v>常住年变动=自然增长+净迁移+统计调整；用统计残差观察</x:v>
      </x:c>
      <x:c r="D9" s="82" t="str">
        <x:v>赣州18县两年人口；峡江两年出生死亡</x:v>
      </x:c>
      <x:c r="E9" s="82" t="str">
        <x:v>常住人口流出或城市集中会否导致县域社保缴费群体变化？</x:v>
      </x:c>
      <x:c r="F9" s="82" t="str">
        <x:v>统计修订、普查抽样、功能区划</x:v>
      </x:c>
      <x:c r="G9" s="82" t="str">
        <x:v>同口径迁移登记、岗位数、县外缴费和异地享待</x:v>
      </x:c>
      <x:c r="H9" s="82" t="str">
        <x:v>仅描述性发现</x:v>
      </x:c>
    </x:row>
    <x:row r="10" ht="56" customHeight="1">
      <x:c r="A10" s="82" t="str">
        <x:v>P1</x:v>
      </x:c>
      <x:c r="B10" s="82" t="str">
        <x:v>公积金缴存与正式就业</x:v>
      </x:c>
      <x:c r="C10" s="82" t="str">
        <x:v>年度缴存/实缴人数/12，企业/非企业/灵活人数构成</x:v>
      </x:c>
      <x:c r="D10" s="82" t="str">
        <x:v>江西11市，县级不可拆分</x:v>
      </x:c>
      <x:c r="E10" s="82" t="str">
        <x:v>公积金分布是否反映劳动力制度覆盖差异？</x:v>
      </x:c>
      <x:c r="F10" s="82" t="str">
        <x:v>年份流量/时点人数、单位分类非编制分类</x:v>
      </x:c>
      <x:c r="G10" s="82" t="str">
        <x:v>按县按单位性质实缴人数、城镇就业在职人数</x:v>
      </x:c>
      <x:c r="H10" s="82" t="str">
        <x:v>市级描述可以</x:v>
      </x:c>
    </x:row>
    <x:row r="11" ht="56" customHeight="1">
      <x:c r="A11" s="82" t="str">
        <x:v>P2</x:v>
      </x:c>
      <x:c r="B11" s="82" t="str">
        <x:v>养老待遇与居民收入</x:v>
      </x:c>
      <x:c r="C11" s="82" t="str">
        <x:v>养老金月金额÷城镇/农村人均收入月额（购买力参照）</x:v>
      </x:c>
      <x:c r="D11" s="82" t="str">
        <x:v>峡江2025有收入与养老金</x:v>
      </x:c>
      <x:c r="E11" s="82" t="str">
        <x:v>城乡退休待遇与当地收入水平相比处于何种量级？</x:v>
      </x:c>
      <x:c r="F11" s="82" t="str">
        <x:v>居民可支配收入含所有年龄，非退休前工资</x:v>
      </x:c>
      <x:c r="G11" s="82" t="str">
        <x:v>当地退休人员退休前平均工资与养老金替代率调查</x:v>
      </x:c>
      <x:c r="H11" s="82" t="str">
        <x:v>不可当替代率</x:v>
      </x:c>
    </x:row>
    <x:row r="12" ht="56" customHeight="1">
      <x:c r="A12" s="82" t="str">
        <x:v>P2</x:v>
      </x:c>
      <x:c r="B12" s="82" t="str">
        <x:v>城乡基础养老金政策差异</x:v>
      </x:c>
      <x:c r="C12" s="82" t="str">
        <x:v>地方额外最低标准=县实际基础养老金最低标准-全国/省/市标准</x:v>
      </x:c>
      <x:c r="D12" s="82" t="str">
        <x:v>已核对赣州225，石城228（2025年7月起）</x:v>
      </x:c>
      <x:c r="E12" s="82" t="str">
        <x:v>县级财力是否影响居民基础养老金加发额？</x:v>
      </x:c>
      <x:c r="F12" s="82" t="str">
        <x:v>政策补发、最低与实际平均不同</x:v>
      </x:c>
      <x:c r="G12" s="82" t="str">
        <x:v>100县2024/2025基础养老金标准及财政资金</x:v>
      </x:c>
      <x:c r="H12" s="82" t="str">
        <x:v>两个地方案例</x:v>
      </x:c>
    </x:row>
    <x:row r="13" ht="56" customHeight="1">
      <x:c r="A13" s="82" t="str">
        <x:v>P2</x:v>
      </x:c>
      <x:c r="B13" s="82" t="str">
        <x:v>长周期制度变化</x:v>
      </x:c>
      <x:c r="C13" s="82" t="str">
        <x:v>建立2014/2015/2020/2025同口径县面板</x:v>
      </x:c>
      <x:c r="D13" s="82" t="str">
        <x:v>2024-25峡江局部完整</x:v>
      </x:c>
      <x:c r="E13" s="82" t="str">
        <x:v>改革过渡期结束后不同退休队列待遇差异会如何变化？</x:v>
      </x:c>
      <x:c r="F13" s="82" t="str">
        <x:v>人事结构、改革待遇清算、补发、追溯修订</x:v>
      </x:c>
      <x:c r="G13" s="82" t="str">
        <x:v>县历年社保基金决算/退休队列统计</x:v>
      </x:c>
      <x:c r="H13" s="82" t="str">
        <x:v>不能从截面推因果</x:v>
      </x:c>
    </x:row>
  </x:sheetData>
  <x:mergeCells>
    <x:mergeCell ref="A1:H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6" hidden="0" customWidth="1"/>
    <x:col min="2" max="2" width="24" hidden="0" customWidth="1"/>
    <x:col min="3" max="3" width="45" hidden="0" customWidth="1"/>
    <x:col min="4" max="4" width="55" hidden="0" customWidth="1"/>
    <x:col min="5" max="5" width="62" hidden="0" customWidth="1"/>
    <x:col min="6" max="6" width="72" hidden="0" customWidth="1"/>
  </x:cols>
  <x:sheetData>
    <x:row r="1" ht="34" customHeight="1">
      <x:c r="A1" s="62" t="str">
        <x:v>江西2025县域养老保障 · 证据与制度分析总览</x:v>
      </x:c>
      <x:c r="B1" s="62"/>
      <x:c r="C1" s="62"/>
      <x:c r="D1" s="62"/>
      <x:c r="E1" s="62"/>
      <x:c r="F1" s="62"/>
    </x:row>
    <x:row r="3" ht="34" customHeight="1">
      <x:c r="A3" s="66" t="str">
        <x:v>研究指标</x:v>
      </x:c>
      <x:c r="B3" s="66" t="str">
        <x:v>数值 / 公式</x:v>
      </x:c>
      <x:c r="C3" s="66" t="str">
        <x:v>衡量对象与时点</x:v>
      </x:c>
      <x:c r="D3" s="66" t="str">
        <x:v>可解释内容</x:v>
      </x:c>
      <x:c r="E3" s="66" t="str">
        <x:v>不可推断事项</x:v>
      </x:c>
      <x:c r="F3" s="66" t="str">
        <x:v>官方/统计来源</x:v>
      </x:c>
    </x:row>
    <x:row r="4" ht="25" customHeight="1">
      <x:c r="A4" s="67" t="str">
        <x:v>全省县级行政区数</x:v>
      </x:c>
      <x:c r="B4" s="67" t="n">
        <x:v>100</x:v>
      </x:c>
      <x:c r="C4" s="67" t="str">
        <x:v>江西省县级行政区</x:v>
      </x:c>
      <x:c r="D4" s="67" t="str">
        <x:v>行政清单覆盖</x:v>
      </x:c>
      <x:c r="E4" s="67" t="str">
        <x:v>不能理解为100个县均已拿到完整数据</x:v>
      </x:c>
      <x:c r="F4" s="67" t="str">
        <x:v>https://epaper.jxxw.com.cn/html/2026-03/27/content_7_88438.htm</x:v>
      </x:c>
    </x:row>
    <x:row r="5" ht="25" customHeight="1">
      <x:c r="A5" s="67" t="str">
        <x:v>县区至少1项2025数值</x:v>
      </x:c>
      <x:c r="B5" s="67" t="n">
        <x:f>COUNTIF('县级总表2025'!$AB$2:$AB$101,"&gt;0")</x:f>
        <x:v>33</x:v>
      </x:c>
      <x:c r="C5" s="67" t="str">
        <x:v>数据库最新采集状态</x:v>
      </x:c>
      <x:c r="D5" s="67" t="str">
        <x:v>覆盖率动态更新</x:v>
      </x:c>
      <x:c r="E5" s="67" t="str">
        <x:v>仅代表录入了一项以上量化指标</x:v>
      </x:c>
      <x:c r="F5" s="67" t="str">
        <x:v>https://www.ganzhou.gov.cn/zfxxgk/tjzdtjfx/202605/1b10c9c94cf1443f851d6523be5863d3.shtml</x:v>
      </x:c>
    </x:row>
    <x:row r="6" ht="25" customHeight="1">
      <x:c r="A6" s="67" t="str">
        <x:v>三制度金额完整县数</x:v>
      </x:c>
      <x:c r="B6" s="67" t="n">
        <x:v>2</x:v>
      </x:c>
      <x:c r="C6" s="67" t="str">
        <x:v>峡江县、吉安县（2025）</x:v>
      </x:c>
      <x:c r="D6" s="67" t="str">
        <x:v>只能作县级个案分析</x:v>
      </x:c>
      <x:c r="E6" s="67" t="str">
        <x:v>不能推广为江西全省占比</x:v>
      </x:c>
      <x:c r="F6" s="67" t="str">
        <x:v>https://maptable.com/tjgb/2025/吉安市/吉安县/report/ji-an-shi-ji-an-xian-2025-nian-guo-min-jing-ji-he-she-hui-fa-zhan-tong-ji-gong-bao</x:v>
      </x:c>
    </x:row>
    <x:row r="7" ht="25" customHeight="1">
      <x:c r="A7" s="67" t="str">
        <x:v>三制度金额+人数完整县数</x:v>
      </x:c>
      <x:c r="B7" s="67" t="n">
        <x:v>1</x:v>
      </x:c>
      <x:c r="C7" s="67" t="str">
        <x:v>峡江县（2025）</x:v>
      </x:c>
      <x:c r="D7" s="67" t="str">
        <x:v>可计算三个群体估算月待遇</x:v>
      </x:c>
      <x:c r="E7" s="67" t="str">
        <x:v>不能作为全省均值</x:v>
      </x:c>
      <x:c r="F7" s="67" t="str">
        <x:v>https://tjgb.hongheiku.com/xjtjgb/xj2020/73609.html</x:v>
      </x:c>
    </x:row>
    <x:row r="8" ht="25" customHeight="1">
      <x:c r="A8" s="67" t="str">
        <x:v>峡江2025机关事业养老金金额占比</x:v>
      </x:c>
      <x:c r="B8" s="69" t="n">
        <x:f>'峡江养老金两年追踪'!H8</x:f>
        <x:v>0.30201722216035654</x:v>
      </x:c>
      <x:c r="C8" s="67" t="str">
        <x:v>2025县级发放额</x:v>
      </x:c>
      <x:c r="D8" s="67" t="str">
        <x:v>分配份额</x:v>
      </x:c>
      <x:c r="E8" s="67" t="str">
        <x:v>不等于财政补贴份额</x:v>
      </x:c>
      <x:c r="F8" s="67" t="str">
        <x:v>https://tjgb.hongheiku.com/xjtjgb/xj2020/73609.html</x:v>
      </x:c>
    </x:row>
    <x:row r="9" ht="25" customHeight="1">
      <x:c r="A9" s="67" t="str">
        <x:v>峡江2025机关事业人数占比</x:v>
      </x:c>
      <x:c r="B9" s="69" t="n">
        <x:f>'峡江养老金两年追踪'!I8</x:f>
        <x:v>0.060950714494021584</x:v>
      </x:c>
      <x:c r="C9" s="67" t="str">
        <x:v>2025年养老金领取人数</x:v>
      </x:c>
      <x:c r="D9" s="67" t="str">
        <x:v>人员结构</x:v>
      </x:c>
      <x:c r="E9" s="67" t="str">
        <x:v>不是全县居民中的机关事业比例</x:v>
      </x:c>
      <x:c r="F9" s="67" t="str">
        <x:v>https://tjgb.hongheiku.com/xjtjgb/xj2020/73609.html</x:v>
      </x:c>
    </x:row>
    <x:row r="10" ht="25" customHeight="1">
      <x:c r="A10" s="67" t="str">
        <x:v>峡江2025机关事业估算月待遇</x:v>
      </x:c>
      <x:c r="B10" s="68" t="n">
        <x:f>'峡江养老金两年追踪'!E8</x:f>
        <x:v>5388.9221158958</x:v>
      </x:c>
      <x:c r="C10" s="67" t="str">
        <x:v>2025年度发放/人数/12</x:v>
      </x:c>
      <x:c r="D10" s="67" t="str">
        <x:v>待遇量级</x:v>
      </x:c>
      <x:c r="E10" s="67" t="str">
        <x:v>并非退休前工资替代率</x:v>
      </x:c>
      <x:c r="F10" s="67" t="str">
        <x:v>https://tjgb.hongheiku.com/xjtjgb/xj2020/73609.html</x:v>
      </x:c>
    </x:row>
    <x:row r="11" ht="25" customHeight="1">
      <x:c r="A11" s="67" t="str">
        <x:v>峡江2025企业估算月待遇</x:v>
      </x:c>
      <x:c r="B11" s="68" t="n">
        <x:f>'峡江养老金两年追踪'!E7</x:f>
        <x:v>2185.9938200419883</x:v>
      </x:c>
      <x:c r="C11" s="67" t="str">
        <x:v>2025年度发放/人数/12</x:v>
      </x:c>
      <x:c r="D11" s="67" t="str">
        <x:v>待遇量级</x:v>
      </x:c>
      <x:c r="E11" s="67" t="str">
        <x:v>并非官方养老金调整值</x:v>
      </x:c>
      <x:c r="F11" s="67" t="str">
        <x:v>https://tjgb.hongheiku.com/xjtjgb/xj2020/73609.html</x:v>
      </x:c>
    </x:row>
    <x:row r="12" ht="25" customHeight="1">
      <x:c r="A12" s="67" t="str">
        <x:v>峡江2025城乡居民估算月待遇</x:v>
      </x:c>
      <x:c r="B12" s="68" t="n">
        <x:f>'峡江养老金两年追踪'!E9</x:f>
        <x:v>240.8871390117051</x:v>
      </x:c>
      <x:c r="C12" s="67" t="str">
        <x:v>2025年度发放/人数/12</x:v>
      </x:c>
      <x:c r="D12" s="67" t="str">
        <x:v>居民制度待遇水平</x:v>
      </x:c>
      <x:c r="E12" s="67" t="str">
        <x:v>不能与纯基础养老金最低标准混同</x:v>
      </x:c>
      <x:c r="F12" s="67" t="str">
        <x:v>https://tjgb.hongheiku.com/xjtjgb/xj2020/73609.html</x:v>
      </x:c>
    </x:row>
    <x:row r="13" ht="25" customHeight="1">
      <x:c r="A13" s="67" t="str">
        <x:v>峡江机关事业金额占比2024→2025变化</x:v>
      </x:c>
      <x:c r="B13" s="84" t="n">
        <x:f>'峡江养老金两年追踪'!H8-'峡江养老金两年追踪'!H5</x:f>
        <x:v>-0.01392295114114206</x:v>
      </x:c>
      <x:c r="C13" s="67" t="str">
        <x:v>两个年度同县公报</x:v>
      </x:c>
      <x:c r="D13" s="67" t="str">
        <x:v>金额结构方向变化</x:v>
      </x:c>
      <x:c r="E13" s="67" t="str">
        <x:v>不可解释为2025改革效果</x:v>
      </x:c>
      <x:c r="F13" s="67" t="str">
        <x:v>https://tjgb.hongheiku.com/xjtjgb/xj2020/65339.html</x:v>
      </x:c>
    </x:row>
    <x:row r="14" ht="25" customHeight="1">
      <x:c r="A14" s="67" t="str">
        <x:v>江西公积金2025实缴人数</x:v>
      </x:c>
      <x:c r="B14" s="67" t="n">
        <x:v>353.77</x:v>
      </x:c>
      <x:c r="C14" s="67" t="str">
        <x:v>2025报告 万人</x:v>
      </x:c>
      <x:c r="D14" s="67" t="str">
        <x:v>公积金缴存规模</x:v>
      </x:c>
      <x:c r="E14" s="67" t="str">
        <x:v>不是活跃就业者总数</x:v>
      </x:c>
      <x:c r="F14" s="67" t="str">
        <x:v>https://jx.ifeng.com/c/8sk35lBJNwe</x:v>
      </x:c>
    </x:row>
    <x:row r="15" ht="25" customHeight="1">
      <x:c r="A15" s="67" t="str">
        <x:v>江西公积金月均缴存额估算</x:v>
      </x:c>
      <x:c r="B15" s="77" t="n">
        <x:f>728.52*100000000/(353.77*10000*12)</x:f>
        <x:v>1716.0867230121264</x:v>
      </x:c>
      <x:c r="C15" s="67" t="str">
        <x:v>2025年度缴存额/实缴人/12</x:v>
      </x:c>
      <x:c r="D15" s="67" t="str">
        <x:v>省级名义缴存强度</x:v>
      </x:c>
      <x:c r="E15" s="67" t="str">
        <x:v>不代表平均工资</x:v>
      </x:c>
      <x:c r="F15" s="67" t="str">
        <x:v>https://jx.ifeng.com/c/8sk35lBJNwe</x:v>
      </x:c>
    </x:row>
    <x:row r="16" ht="25" customHeight="1">
      <x:c r="A16" s="67" t="str">
        <x:v>江西2025社保基金预算收入</x:v>
      </x:c>
      <x:c r="B16" s="67" t="n">
        <x:v>2735.8</x:v>
      </x:c>
      <x:c r="C16" s="67" t="str">
        <x:v>全省/全年 亿元</x:v>
      </x:c>
      <x:c r="D16" s="67" t="str">
        <x:v>全险种社保基金规模</x:v>
      </x:c>
      <x:c r="E16" s="67" t="str">
        <x:v>不是养老保险基金单项收入</x:v>
      </x:c>
      <x:c r="F16" s="67" t="str">
        <x:v>https://jiangxi.jxnews.com.cn/system/2026/02/09/031051192.shtml</x:v>
      </x:c>
    </x:row>
    <x:row r="17" ht="25" customHeight="1">
      <x:c r="A17" s="67" t="str">
        <x:v>江西2025社保基金预算支出</x:v>
      </x:c>
      <x:c r="B17" s="67" t="n">
        <x:v>2603</x:v>
      </x:c>
      <x:c r="C17" s="67" t="str">
        <x:v>全省/全年 亿元</x:v>
      </x:c>
      <x:c r="D17" s="67" t="str">
        <x:v>全险种社保基金规模</x:v>
      </x:c>
      <x:c r="E17" s="67" t="str">
        <x:v>不是养老金支出</x:v>
      </x:c>
      <x:c r="F17" s="67" t="str">
        <x:v>https://jiangxi.jxnews.com.cn/system/2026/02/09/031051192.shtml</x:v>
      </x:c>
    </x:row>
    <x:row r="18" ht="25" customHeight="1">
      <x:c r="A18" s="67" t="str">
        <x:v>赣州18县2024→2025人口两年比较</x:v>
      </x:c>
      <x:c r="B18" s="67" t="n">
        <x:v>18</x:v>
      </x:c>
      <x:c r="C18" s="67" t="str">
        <x:v>赣州官方公布的两年人口</x:v>
      </x:c>
      <x:c r="D18" s="67" t="str">
        <x:v>可比较县域人口流动信号</x:v>
      </x:c>
      <x:c r="E18" s="67" t="str">
        <x:v>不含另外两处功能区</x:v>
      </x:c>
      <x:c r="F18" s="67" t="str">
        <x:v>https://www.ganzhou.gov.cn/zfxxgk/tjzdtjfx/202605/1b10c9c94cf1443f851d6523be5863d3.shtml</x:v>
      </x:c>
    </x:row>
    <x:row r="21" ht="40" customHeight="1">
      <x:c r="A21" s="75" t="str">
        <x:v>独立审计提醒：省级社保基金预算不等于养老金；县级一般公共预算社保就业支出不等于当地养老金发放；县级参保人数不等于待遇领取人数。</x:v>
      </x:c>
      <x:c r="B21" s="75"/>
      <x:c r="C21" s="75"/>
      <x:c r="D21" s="75"/>
      <x:c r="E21" s="75"/>
      <x:c r="F21" s="75"/>
    </x:row>
  </x:sheetData>
  <x:mergeCells>
    <x:mergeCell ref="A1:F1"/>
    <x:mergeCell ref="A21:F2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0" hidden="0" customWidth="1"/>
    <x:col min="4" max="4" width="20" hidden="0" customWidth="1"/>
    <x:col min="5" max="5" width="19" hidden="0" customWidth="1"/>
    <x:col min="6" max="6" width="20" hidden="0" customWidth="1"/>
    <x:col min="7" max="7" width="19" hidden="0" customWidth="1"/>
    <x:col min="8" max="8" width="69" hidden="0" customWidth="1"/>
    <x:col min="9" max="9" width="71" hidden="0" customWidth="1"/>
  </x:cols>
  <x:sheetData>
    <x:row r="1" ht="34" customHeight="1">
      <x:c r="A1" s="62" t="str">
        <x:v>人口年龄结构 · 户籍与常住不可混为同一老龄化率</x:v>
      </x:c>
      <x:c r="B1" s="62"/>
      <x:c r="C1" s="62"/>
      <x:c r="D1" s="62"/>
      <x:c r="E1" s="62"/>
      <x:c r="F1" s="62"/>
      <x:c r="G1" s="62"/>
      <x:c r="H1" s="62"/>
      <x:c r="I1" s="62"/>
    </x:row>
    <x:row r="3" ht="34" customHeight="1">
      <x:c r="A3" s="66" t="str">
        <x:v>地区</x:v>
      </x:c>
      <x:c r="B3" s="66" t="str">
        <x:v>2025人口总数_人</x:v>
      </x:c>
      <x:c r="C3" s="66" t="str">
        <x:v>人口基准类型</x:v>
      </x:c>
      <x:c r="D3" s="66" t="str">
        <x:v>60+人数_人</x:v>
      </x:c>
      <x:c r="E3" s="66" t="str">
        <x:v>60+比例</x:v>
      </x:c>
      <x:c r="F3" s="66" t="str">
        <x:v>65+人数_人</x:v>
      </x:c>
      <x:c r="G3" s="66" t="str">
        <x:v>65+比例</x:v>
      </x:c>
      <x:c r="H3" s="66" t="str">
        <x:v>来源URL</x:v>
      </x:c>
      <x:c r="I3" s="66" t="str">
        <x:v>判读说明</x:v>
      </x:c>
    </x:row>
    <x:row r="4" ht="25" customHeight="1">
      <x:c r="A4" s="67" t="str">
        <x:v>赣州市全市</x:v>
      </x:c>
      <x:c r="B4" s="67" t="n">
        <x:v>8956200</x:v>
      </x:c>
      <x:c r="C4" s="67" t="str">
        <x:v>常住人口</x:v>
      </x:c>
      <x:c r="D4" s="67" t="n">
        <x:v>1734300</x:v>
      </x:c>
      <x:c r="E4" s="69" t="n">
        <x:f>IFERROR(D4/B4,"")</x:f>
        <x:v>0.19364239297916527</x:v>
      </x:c>
      <x:c r="F4" s="67" t="n">
        <x:v>1193200</x:v>
      </x:c>
      <x:c r="G4" s="69" t="n">
        <x:f>IF(AND(ISNUMBER(F4),F4&gt;0),F4/B4,"")</x:f>
        <x:v>0.13322614501685984</x:v>
      </x:c>
      <x:c r="H4" s="67" t="str">
        <x:v>https://www.ganzhou.gov.cn/zfxxgk/tjzdtjfx/202605/1b10c9c94cf1443f851d6523be5863d3.shtml</x:v>
      </x:c>
      <x:c r="I4" s="67" t="str">
        <x:v>报告提供60岁及以上19.36%，65岁及以上13.32%；部分数据万人两位数</x:v>
      </x:c>
    </x:row>
    <x:row r="5" ht="25" customHeight="1">
      <x:c r="A5" s="67" t="str">
        <x:v>遂川县</x:v>
      </x:c>
      <x:c r="B5" s="67" t="n">
        <x:v>483636</x:v>
      </x:c>
      <x:c r="C5" s="67" t="str">
        <x:v>常住人口</x:v>
      </x:c>
      <x:c r="D5" s="67" t="n">
        <x:v>107329</x:v>
      </x:c>
      <x:c r="E5" s="69" t="n">
        <x:f>IFERROR(D5/B5,"")</x:f>
        <x:v>0.22192103151957257</x:v>
      </x:c>
      <x:c r="F5" s="67" t="n">
        <x:v>72055</x:v>
      </x:c>
      <x:c r="G5" s="69" t="n">
        <x:f>IF(AND(ISNUMBER(F5),F5&gt;0),F5/B5,"")</x:f>
        <x:v>0.1489860142751987</x:v>
      </x:c>
      <x:c r="H5" s="67" t="str">
        <x:v>https://tjgb.hongheiku.com/xjtjgb/xj2020/73392.html</x:v>
      </x:c>
      <x:c r="I5" s="67" t="str">
        <x:v>县级公报年龄结构；可以和常住口径的赣州市全市比较</x:v>
      </x:c>
    </x:row>
    <x:row r="6" ht="25" customHeight="1">
      <x:c r="A6" s="67" t="str">
        <x:v>石城县</x:v>
      </x:c>
      <x:c r="B6" s="67" t="n">
        <x:v>327427</x:v>
      </x:c>
      <x:c r="C6" s="67" t="str">
        <x:v>户籍人口</x:v>
      </x:c>
      <x:c r="D6" s="67" t="n">
        <x:v>61421</x:v>
      </x:c>
      <x:c r="E6" s="69" t="n">
        <x:f>IFERROR(D6/B6,"")</x:f>
        <x:v>0.18758685142031659</x:v>
      </x:c>
      <x:c r="F6" s="67"/>
      <x:c r="G6" s="69" t="str">
        <x:f>IF(AND(ISNUMBER(F6),F6&gt;0),F6/B6,"")</x:f>
      </x:c>
      <x:c r="H6" s="67" t="str">
        <x:v>https://www.shicheng.gov.cn/scxxxgk/tjgb/202604/adc5c0bf738b43f3b5b80a2693d08ed4.shtml</x:v>
      </x:c>
      <x:c r="I6" s="67" t="str">
        <x:v>61421是公报户籍人口表60岁及以上人数；不能与常住人口28.05万直接除</x:v>
      </x:c>
    </x:row>
    <x:row r="9" ht="40" customHeight="1">
      <x:c r="A9" s="75" t="str">
        <x:v>研究发现：遂川县常住人口60岁及以上占22.19%，高于赣州市整体约19.36%；石城县的18.8%使用户籍口径，不可直接排序比较。</x:v>
      </x:c>
      <x:c r="B9" s="75"/>
      <x:c r="C9" s="75"/>
      <x:c r="D9" s="75"/>
      <x:c r="E9" s="75"/>
      <x:c r="F9" s="75"/>
      <x:c r="G9" s="75"/>
      <x:c r="H9" s="75"/>
      <x:c r="I9" s="75"/>
    </x:row>
  </x:sheetData>
  <x:mergeCells>
    <x:mergeCell ref="A1:I1"/>
    <x:mergeCell ref="A9:I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40" hidden="0" customWidth="1"/>
    <x:col min="2" max="2" width="35" hidden="0" customWidth="1"/>
    <x:col min="3" max="3" width="20" hidden="0" customWidth="1"/>
    <x:col min="4" max="4" width="30" hidden="0" customWidth="1"/>
    <x:col min="5" max="5" width="60" hidden="0" customWidth="1"/>
    <x:col min="6" max="6" width="85" hidden="0" customWidth="1"/>
    <x:col min="7" max="7" width="39" hidden="0" customWidth="1"/>
    <x:col min="8" max="8" width="68" hidden="0" customWidth="1"/>
  </x:cols>
  <x:sheetData>
    <x:row r="1" ht="34" customHeight="1">
      <x:c r="A1" s="62" t="str">
        <x:v>2024—2026发布的2025年统计、财政及制度报告 · 完整出处清单</x:v>
      </x:c>
      <x:c r="B1" s="62"/>
      <x:c r="C1" s="62"/>
      <x:c r="D1" s="62"/>
      <x:c r="E1" s="62"/>
      <x:c r="F1" s="62"/>
      <x:c r="G1" s="62"/>
      <x:c r="H1" s="62"/>
    </x:row>
    <x:row r="3" ht="34" customHeight="1">
      <x:c r="A3" s="66" t="str">
        <x:v>报告/文件</x:v>
      </x:c>
      <x:c r="B3" s="66" t="str">
        <x:v>发布机关</x:v>
      </x:c>
      <x:c r="C3" s="66" t="str">
        <x:v>行政层级</x:v>
      </x:c>
      <x:c r="D3" s="66" t="str">
        <x:v>统计期间/发布时间</x:v>
      </x:c>
      <x:c r="E3" s="66" t="str">
        <x:v>可核查内容</x:v>
      </x:c>
      <x:c r="F3" s="66" t="str">
        <x:v>原始网址</x:v>
      </x:c>
      <x:c r="G3" s="66" t="str">
        <x:v>来源可靠性</x:v>
      </x:c>
      <x:c r="H3" s="66" t="str">
        <x:v>使用警示</x:v>
      </x:c>
    </x:row>
    <x:row r="4" ht="49" customHeight="1">
      <x:c r="A4" s="82" t="str">
        <x:v>江西省2025统计公报</x:v>
      </x:c>
      <x:c r="B4" s="82" t="str">
        <x:v>省统计局/江西日报</x:v>
      </x:c>
      <x:c r="C4" s="82" t="str">
        <x:v>省级</x:v>
      </x:c>
      <x:c r="D4" s="82" t="str">
        <x:v>2025/2026-03-27</x:v>
      </x:c>
      <x:c r="E4" s="82" t="str">
        <x:v>常住人口、就业、养老保险参保</x:v>
      </x:c>
      <x:c r="F4" s="82" t="str">
        <x:v>https://epaper.jxxw.com.cn/html/2026-03/27/content_7_88438.htm</x:v>
      </x:c>
      <x:c r="G4" s="82" t="str">
        <x:v>统计局官方发布，日报转载</x:v>
      </x:c>
      <x:c r="H4" s="82" t="str">
        <x:v>省级参保不可拆为县待遇领取人数</x:v>
      </x:c>
    </x:row>
    <x:row r="5" ht="49" customHeight="1">
      <x:c r="A5" s="82" t="str">
        <x:v>江西省2025社保基金预算执行</x:v>
      </x:c>
      <x:c r="B5" s="82" t="str">
        <x:v>江西省政府预算报告</x:v>
      </x:c>
      <x:c r="C5" s="82" t="str">
        <x:v>全省</x:v>
      </x:c>
      <x:c r="D5" s="82" t="str">
        <x:v>2025执行/2026-02</x:v>
      </x:c>
      <x:c r="E5" s="82" t="str">
        <x:v>全省社保基金预算收入/支出/滚存</x:v>
      </x:c>
      <x:c r="F5" s="82" t="str">
        <x:v>https://jiangxi.jxnews.com.cn/system/2026/02/09/031051192.shtml</x:v>
      </x:c>
      <x:c r="G5" s="82" t="str">
        <x:v>人大预算材料传播版</x:v>
      </x:c>
      <x:c r="H5" s="82" t="str">
        <x:v>包括医疗等险种，不可等同养老金</x:v>
      </x:c>
    </x:row>
    <x:row r="6" ht="49" customHeight="1">
      <x:c r="A6" s="82" t="str">
        <x:v>2025江西省级社保基金决算</x:v>
      </x:c>
      <x:c r="B6" s="82" t="str">
        <x:v>江西省人大新闻</x:v>
      </x:c>
      <x:c r="C6" s="82" t="str">
        <x:v>省级</x:v>
      </x:c>
      <x:c r="D6" s="82" t="str">
        <x:v>2025决算/2026-08</x:v>
      </x:c>
      <x:c r="E6" s="82" t="str">
        <x:v>省级社会保险基金收支</x:v>
      </x:c>
      <x:c r="F6" s="82" t="str">
        <x:v>https://jxrd.jxnews.com.cn/system/2026/08/11/031215391.shtml</x:v>
      </x:c>
      <x:c r="G6" s="82" t="str">
        <x:v>省级决算摘要</x:v>
      </x:c>
      <x:c r="H6" s="82" t="str">
        <x:v>不与全省社保基金加总</x:v>
      </x:c>
    </x:row>
    <x:row r="7" ht="49" customHeight="1">
      <x:c r="A7" s="82" t="str">
        <x:v>江西省2025公积金年报</x:v>
      </x:c>
      <x:c r="B7" s="82" t="str">
        <x:v>江西省住建厅/媒体转发</x:v>
      </x:c>
      <x:c r="C7" s="82" t="str">
        <x:v>全省/11市</x:v>
      </x:c>
      <x:c r="D7" s="82" t="str">
        <x:v>2025/2026-04-30</x:v>
      </x:c>
      <x:c r="E7" s="82" t="str">
        <x:v>缴存、提取、贷款、单位类别</x:v>
      </x:c>
      <x:c r="F7" s="82" t="str">
        <x:v>https://jx.ifeng.com/c/8sk35lBJNwe</x:v>
      </x:c>
      <x:c r="G7" s="82" t="str">
        <x:v>主管机关提供内容的官方机构账号转载</x:v>
      </x:c>
      <x:c r="H7" s="82" t="str">
        <x:v>县级分配缺公开明细</x:v>
      </x:c>
    </x:row>
    <x:row r="8" ht="49" customHeight="1">
      <x:c r="A8" s="82" t="str">
        <x:v>江西退休人员2025调整</x:v>
      </x:c>
      <x:c r="B8" s="82" t="str">
        <x:v>财政部江西监管局</x:v>
      </x:c>
      <x:c r="C8" s="82" t="str">
        <x:v>江西省</x:v>
      </x:c>
      <x:c r="D8" s="82" t="str">
        <x:v>2025/2025-07</x:v>
      </x:c>
      <x:c r="E8" s="82" t="str">
        <x:v>企业机关事业养老金调整及受益人数</x:v>
      </x:c>
      <x:c r="F8" s="82" t="str">
        <x:v>https://jx.mof.gov.cn/xxgk/tongzhitonggao/202507/t20250728_3968859.htm</x:v>
      </x:c>
      <x:c r="G8" s="82" t="str">
        <x:v>财政部站点</x:v>
      </x:c>
      <x:c r="H8" s="82" t="str">
        <x:v>调整上限2%非个人待遇统一增幅</x:v>
      </x:c>
    </x:row>
    <x:row r="9" ht="49" customHeight="1">
      <x:c r="A9" s="82" t="str">
        <x:v>峡江2025县统计公报</x:v>
      </x:c>
      <x:c r="B9" s="82" t="str">
        <x:v>峡江县统计局</x:v>
      </x:c>
      <x:c r="C9" s="82" t="str">
        <x:v>县级</x:v>
      </x:c>
      <x:c r="D9" s="82" t="str">
        <x:v>2025/2026-06</x:v>
      </x:c>
      <x:c r="E9" s="82" t="str">
        <x:v>三制度养老金金额、人数、缴费、人口</x:v>
      </x:c>
      <x:c r="F9" s="82" t="str">
        <x:v>https://tjgb.hongheiku.com/xjtjgb/xj2020/73609.html</x:v>
      </x:c>
      <x:c r="G9" s="82" t="str">
        <x:v>统计局公报全文转录平台</x:v>
      </x:c>
      <x:c r="H9" s="82" t="str">
        <x:v>年度初步数据，可能修订</x:v>
      </x:c>
    </x:row>
    <x:row r="10" ht="49" customHeight="1">
      <x:c r="A10" s="82" t="str">
        <x:v>峡江2024县统计公报</x:v>
      </x:c>
      <x:c r="B10" s="82" t="str">
        <x:v>峡江县统计局</x:v>
      </x:c>
      <x:c r="C10" s="82" t="str">
        <x:v>县级</x:v>
      </x:c>
      <x:c r="D10" s="82" t="str">
        <x:v>2024/2025-07</x:v>
      </x:c>
      <x:c r="E10" s="82" t="str">
        <x:v>三制度养老金金额、人数、缴费、人口</x:v>
      </x:c>
      <x:c r="F10" s="82" t="str">
        <x:v>https://tjgb.hongheiku.com/xjtjgb/xj2020/65339.html</x:v>
      </x:c>
      <x:c r="G10" s="82" t="str">
        <x:v>统计局公报全文转录平台</x:v>
      </x:c>
      <x:c r="H10" s="82" t="str">
        <x:v>与2025年度口径须核对</x:v>
      </x:c>
    </x:row>
    <x:row r="11" ht="49" customHeight="1">
      <x:c r="A11" s="82" t="str">
        <x:v>吉安2025县统计公报</x:v>
      </x:c>
      <x:c r="B11" s="82" t="str">
        <x:v>吉安县统计局数据/平台</x:v>
      </x:c>
      <x:c r="C11" s="82" t="str">
        <x:v>县级</x:v>
      </x:c>
      <x:c r="D11" s="82" t="str">
        <x:v>2025/2026</x:v>
      </x:c>
      <x:c r="E11" s="82" t="str">
        <x:v>三制度养老金金额，收入就业</x:v>
      </x:c>
      <x:c r="F11" s="82" t="str">
        <x:v>https://maptable.com/tjgb/2025/吉安市/吉安县/report/ji-an-shi-ji-an-xian-2025-nian-guo-min-jing-ji-he-she-hui-fa-zhan-tong-ji-gong-bao</x:v>
      </x:c>
      <x:c r="G11" s="82" t="str">
        <x:v>县公报全文平台收录</x:v>
      </x:c>
      <x:c r="H11" s="82" t="str">
        <x:v>无三制度待遇人数</x:v>
      </x:c>
    </x:row>
    <x:row r="12" ht="49" customHeight="1">
      <x:c r="A12" s="82" t="str">
        <x:v>赣州2025县区常住人口</x:v>
      </x:c>
      <x:c r="B12" s="82" t="str">
        <x:v>赣州市政府/统计</x:v>
      </x:c>
      <x:c r="C12" s="82" t="str">
        <x:v>市内县级</x:v>
      </x:c>
      <x:c r="D12" s="82" t="str">
        <x:v>2025/2026-05</x:v>
      </x:c>
      <x:c r="E12" s="82" t="str">
        <x:v>18县人口及城镇化，2功能区</x:v>
      </x:c>
      <x:c r="F12" s="82" t="str">
        <x:v>https://www.ganzhou.gov.cn/zfxxgk/tjzdtjfx/202605/1b10c9c94cf1443f851d6523be5863d3.shtml</x:v>
      </x:c>
      <x:c r="G12" s="82" t="str">
        <x:v>政府官网一手来源</x:v>
      </x:c>
      <x:c r="H12" s="82" t="str">
        <x:v>人口以万人两位小数公布</x:v>
      </x:c>
    </x:row>
    <x:row r="13" ht="49" customHeight="1">
      <x:c r="A13" s="82" t="str">
        <x:v>赣州2024县区常住人口</x:v>
      </x:c>
      <x:c r="B13" s="82" t="str">
        <x:v>赣州市政府/统计</x:v>
      </x:c>
      <x:c r="C13" s="82" t="str">
        <x:v>市内县级</x:v>
      </x:c>
      <x:c r="D13" s="82" t="str">
        <x:v>2024/2025-03</x:v>
      </x:c>
      <x:c r="E13" s="82" t="str">
        <x:v>人口及城镇化跨年基期</x:v>
      </x:c>
      <x:c r="F13" s="82" t="str">
        <x:v>https://www.ganzhou.gov.cn/zfxxgk/c100093n1/202503/c7bfdc7911ac4c898c559e58a215509a.shtml</x:v>
      </x:c>
      <x:c r="G13" s="82" t="str">
        <x:v>政府官网一手来源</x:v>
      </x:c>
      <x:c r="H13" s="82" t="str">
        <x:v>2024与2025指标制度一致后可比较</x:v>
      </x:c>
    </x:row>
    <x:row r="14" ht="49" customHeight="1">
      <x:c r="A14" s="82" t="str">
        <x:v>遂川2025统计公报</x:v>
      </x:c>
      <x:c r="B14" s="82" t="str">
        <x:v>遂川县统计局</x:v>
      </x:c>
      <x:c r="C14" s="82" t="str">
        <x:v>县级</x:v>
      </x:c>
      <x:c r="D14" s="82" t="str">
        <x:v>2025/2026-06</x:v>
      </x:c>
      <x:c r="E14" s="82" t="str">
        <x:v>60+/65+常住结构、就业、参保</x:v>
      </x:c>
      <x:c r="F14" s="82" t="str">
        <x:v>https://tjgb.hongheiku.com/xjtjgb/xj2020/73392.html</x:v>
      </x:c>
      <x:c r="G14" s="82" t="str">
        <x:v>县公报转载全文</x:v>
      </x:c>
      <x:c r="H14" s="82" t="str">
        <x:v>只公布养老参保，非三类养老金金额</x:v>
      </x:c>
    </x:row>
    <x:row r="15" ht="49" customHeight="1">
      <x:c r="A15" s="82" t="str">
        <x:v>石城2025统计公报</x:v>
      </x:c>
      <x:c r="B15" s="82" t="str">
        <x:v>石城县统计局</x:v>
      </x:c>
      <x:c r="C15" s="82" t="str">
        <x:v>县级</x:v>
      </x:c>
      <x:c r="D15" s="82" t="str">
        <x:v>2025/2026-04-21</x:v>
      </x:c>
      <x:c r="E15" s="82" t="str">
        <x:v>常住人口、户籍年龄结构、就业</x:v>
      </x:c>
      <x:c r="F15" s="82" t="str">
        <x:v>https://www.shicheng.gov.cn/scxxxgk/tjgb/202604/adc5c0bf738b43f3b5b80a2693d08ed4.shtml</x:v>
      </x:c>
      <x:c r="G15" s="82" t="str">
        <x:v>县政府一手官网</x:v>
      </x:c>
      <x:c r="H15" s="82" t="str">
        <x:v>60+人口为户籍口径</x:v>
      </x:c>
    </x:row>
    <x:row r="16" ht="49" customHeight="1">
      <x:c r="A16" s="82" t="str">
        <x:v>赣州居民养老金提标</x:v>
      </x:c>
      <x:c r="B16" s="82" t="str">
        <x:v>赣州市人社局财政局</x:v>
      </x:c>
      <x:c r="C16" s="82" t="str">
        <x:v>赣州市</x:v>
      </x:c>
      <x:c r="D16" s="82" t="str">
        <x:v>2025政策/2025-11-25</x:v>
      </x:c>
      <x:c r="E16" s="82" t="str">
        <x:v>2025基础养老金205/225元每月</x:v>
      </x:c>
      <x:c r="F16" s="82" t="str">
        <x:v>https://www.ganzhou.gov.cn/zfxxgk/c143873/202601/daccdc473f0c48539ab4caeaefce9c60.shtml</x:v>
      </x:c>
      <x:c r="G16" s="82" t="str">
        <x:v>市政府政策</x:v>
      </x:c>
      <x:c r="H16" s="82" t="str">
        <x:v>全年有上下半年变化</x:v>
      </x:c>
    </x:row>
    <x:row r="17" ht="49" customHeight="1">
      <x:c r="A17" s="82" t="str">
        <x:v>石城居民养老金追加</x:v>
      </x:c>
      <x:c r="B17" s="82" t="str">
        <x:v>石城县人社/财政</x:v>
      </x:c>
      <x:c r="C17" s="82" t="str">
        <x:v>石城县</x:v>
      </x:c>
      <x:c r="D17" s="82" t="str">
        <x:v>2025政策/2026公开</x:v>
      </x:c>
      <x:c r="E17" s="82" t="str">
        <x:v>2025基础养老金208/228元每月</x:v>
      </x:c>
      <x:c r="F17" s="82" t="str">
        <x:v>https://www.shicheng.gov.cn/scxxxgk/shbxscx25/202603/2f1f1653520e4a7ab21ece57c826a724.shtml</x:v>
      </x:c>
      <x:c r="G17" s="82" t="str">
        <x:v>县政府政策</x:v>
      </x:c>
      <x:c r="H17" s="82" t="str">
        <x:v>最低基础养老金不等于每人实际待遇</x:v>
      </x:c>
    </x:row>
    <x:row r="18" ht="49" customHeight="1">
      <x:c r="A18" s="82" t="str">
        <x:v>机关养老2014改革和职业年金</x:v>
      </x:c>
      <x:c r="B18" s="82" t="str">
        <x:v>国家发改委政策答疑</x:v>
      </x:c>
      <x:c r="C18" s="82" t="str">
        <x:v>全国</x:v>
      </x:c>
      <x:c r="D18" s="82" t="str">
        <x:v>2014起</x:v>
      </x:c>
      <x:c r="E18" s="82" t="str">
        <x:v>职业年金、过渡规则、缴费机制</x:v>
      </x:c>
      <x:c r="F18" s="82" t="str">
        <x:v>https://www.ndrc.gov.cn/fggz/gbzj/xxyd/202202/t20220225_1317031_ext.html</x:v>
      </x:c>
      <x:c r="G18" s="82" t="str">
        <x:v>中央部委政策解释</x:v>
      </x:c>
      <x:c r="H18" s="82" t="str">
        <x:v>养老金与职业年金不得混淆</x:v>
      </x:c>
    </x:row>
    <x:row r="19" ht="49" customHeight="1">
      <x:c r="A19" s="82" t="str">
        <x:v>机关改革过渡期终点</x:v>
      </x:c>
      <x:c r="B19" s="82" t="str">
        <x:v>国家发改委政策答疑</x:v>
      </x:c>
      <x:c r="C19" s="82" t="str">
        <x:v>全国</x:v>
      </x:c>
      <x:c r="D19" s="82" t="str">
        <x:v>2014-2024</x:v>
      </x:c>
      <x:c r="E19" s="82" t="str">
        <x:v>过渡期新老办法待遇计发</x:v>
      </x:c>
      <x:c r="F19" s="82" t="str">
        <x:v>https://www.ndrc.gov.cn/fggz/gbzj/xxyd/202204/t20220426_1323099.html</x:v>
      </x:c>
      <x:c r="G19" s="82" t="str">
        <x:v>中央部委政策解释</x:v>
      </x:c>
      <x:c r="H19" s="82" t="str">
        <x:v>改革过渡期结束不等于差距即时消失</x:v>
      </x:c>
    </x:row>
    <x:row r="20" ht="49" customHeight="1">
      <x:c r="A20" s="82" t="str">
        <x:v>2022企业养老金全国统筹</x:v>
      </x:c>
      <x:c r="B20" s="82" t="str">
        <x:v>国家发改委政策介绍</x:v>
      </x:c>
      <x:c r="C20" s="82" t="str">
        <x:v>全国</x:v>
      </x:c>
      <x:c r="D20" s="82" t="str">
        <x:v>2022起</x:v>
      </x:c>
      <x:c r="E20" s="82" t="str">
        <x:v>资金调剂及统筹层级</x:v>
      </x:c>
      <x:c r="F20" s="82" t="str">
        <x:v>https://www.ndrc.gov.cn/fggz/jyysr/jysrsbxf/202301/t20230131_1348098_ext.html</x:v>
      </x:c>
      <x:c r="G20" s="82" t="str">
        <x:v>中央部委政策解释</x:v>
      </x:c>
      <x:c r="H20" s="82" t="str">
        <x:v>县级缴费/支付不代表县基金盈亏</x:v>
      </x:c>
    </x:row>
  </x:sheetData>
  <x:mergeCells>
    <x:mergeCell ref="A1:H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31" hidden="0" customWidth="1"/>
    <x:col min="3" max="3" width="78" hidden="0" customWidth="1"/>
    <x:col min="4" max="4" width="28" hidden="0" customWidth="1"/>
  </x:cols>
  <x:sheetData>
    <x:row r="1" ht="29" customHeight="1">
      <x:c r="A1" s="89" t="str">
        <x:v>审查主题</x:v>
      </x:c>
      <x:c r="B1" s="89" t="str">
        <x:v>结论/数值</x:v>
      </x:c>
      <x:c r="C1" s="89" t="str">
        <x:v>解释及约束</x:v>
      </x:c>
      <x:c r="D1" s="89" t="str">
        <x:v>来源</x:v>
      </x:c>
    </x:row>
    <x:row r="2">
      <x:c r="A2" t="str">
        <x:v>研究基准</x:v>
      </x:c>
      <x:c r="B2" t="str">
        <x:v>2025年</x:v>
      </x:c>
      <x:c r="C2" t="str">
        <x:v>对照2024，历史数据按可获得性补充</x:v>
      </x:c>
      <x:c r="D2" t="str">
        <x:v>2026-10-27</x:v>
      </x:c>
    </x:row>
    <x:row r="3">
      <x:c r="A3" t="str">
        <x:v>区县建档</x:v>
      </x:c>
      <x:c r="B3" t="n">
        <x:v>100</x:v>
      </x:c>
      <x:c r="C3" t="str">
        <x:v>11设区市；2025末代码待民政部原表最终核验</x:v>
      </x:c>
      <x:c r="D3" t="str">
        <x:v>S12/S16</x:v>
      </x:c>
    </x:row>
    <x:row r="4">
      <x:c r="A4" t="str">
        <x:v>2025养老金金额三类齐全县数</x:v>
      </x:c>
      <x:c r="B4" t="n">
        <x:v>2</x:v>
      </x:c>
      <x:c r="C4" t="str">
        <x:v>峡江县、吉安县；二者均为转载全文</x:v>
      </x:c>
      <x:c r="D4" t="str">
        <x:v>S02/S04</x:v>
      </x:c>
    </x:row>
    <x:row r="5">
      <x:c r="A5" t="str">
        <x:v>2025养老金金额和领取人数齐全县数</x:v>
      </x:c>
      <x:c r="B5" t="n">
        <x:v>1</x:v>
      </x:c>
      <x:c r="C5" t="str">
        <x:v>仅峡江县，属B级，尚未取得官网原件</x:v>
      </x:c>
      <x:c r="D5" t="str">
        <x:v>S02</x:v>
      </x:c>
    </x:row>
    <x:row r="6">
      <x:c r="A6" t="str">
        <x:v>赣州两年人口可比县数</x:v>
      </x:c>
      <x:c r="B6" t="n">
        <x:v>18</x:v>
      </x:c>
      <x:c r="C6" t="str">
        <x:v>政府官网原始发布，不含两个功能区</x:v>
      </x:c>
      <x:c r="D6" t="str">
        <x:v>S05/S06</x:v>
      </x:c>
    </x:row>
    <x:row r="7">
      <x:c r="A7" t="str">
        <x:v>严格分析事实条数</x:v>
      </x:c>
      <x:c r="B7" t="n">
        <x:v>142</x:v>
      </x:c>
      <x:c r="C7" t="str">
        <x:v>102条来自可核对政府/主管部门发布；40条B级</x:v>
      </x:c>
      <x:c r="D7" t="str">
        <x:v>observations_reviewed.csv</x:v>
      </x:c>
    </x:row>
    <x:row r="8">
      <x:c r="A8" t="str">
        <x:v>峡江机关养老金金额占比2025</x:v>
      </x:c>
      <x:c r="B8" s="18" t="n">
        <x:v>0.30201722216035654</x:v>
      </x:c>
      <x:c r="C8" t="str">
        <x:v>仅为峡江县三类金额占比，禁止推全省</x:v>
      </x:c>
      <x:c r="D8" t="str">
        <x:v>S02</x:v>
      </x:c>
    </x:row>
    <x:row r="9">
      <x:c r="A9" t="str">
        <x:v>峡江机关退休人数占比2025</x:v>
      </x:c>
      <x:c r="B9" s="18" t="n">
        <x:v>0.060950714494021584</x:v>
      </x:c>
      <x:c r="C9" t="str">
        <x:v>年末人数占比，与年度支出分母不等</x:v>
      </x:c>
      <x:c r="D9" t="str">
        <x:v>S02</x:v>
      </x:c>
    </x:row>
    <x:row r="10">
      <x:c r="A10" t="str">
        <x:v>峡江人口变动残差</x:v>
      </x:c>
      <x:c r="B10" t="n">
        <x:v>-3348</x:v>
      </x:c>
      <x:c r="C10" t="str">
        <x:v>不等于已确认净迁出；可能含统计口径调整</x:v>
      </x:c>
      <x:c r="D10" t="str">
        <x:v>S02/S03</x:v>
      </x:c>
    </x:row>
    <x:row r="11">
      <x:c r="A11" t="str">
        <x:v>江西全省2025人口变化</x:v>
      </x:c>
      <x:c r="B11" t="n">
        <x:v>-280000</x:v>
      </x:c>
      <x:c r="C11" t="str">
        <x:v>常住人口较2024年变化</x:v>
      </x:c>
      <x:c r="D11" t="str">
        <x:v>S01</x:v>
      </x:c>
    </x:row>
    <x:row r="12">
      <x:c r="A12" t="str">
        <x:v>核心事实等级说明</x:v>
      </x:c>
      <x:c r="B12" t="str">
        <x:v>A=政府原始发布; B=转载/待终核</x:v>
      </x:c>
      <x:c r="C12" t="str">
        <x:v>未经确认的旧版2025县指标保留在旧工作表，不自动升级</x:v>
      </x:c>
      <x:c r="D12" t="str">
        <x:v>sources.csv</x:v>
      </x:c>
    </x:row>
    <x:row r="13">
      <x:c r="A13" t="str">
        <x:v>源网页本地快照</x:v>
      </x:c>
      <x:c r="B13" t="str">
        <x:v>尚未保存</x:v>
      </x:c>
      <x:c r="C13" t="str">
        <x:v>研究环境无法下载源HTML/PDF；有URL及定位位置</x:v>
      </x:c>
      <x:c r="D13" t="str">
        <x:v>sources.csv</x:v>
      </x:c>
    </x:row>
    <x:row r="14">
      <x:c r="A14" t="str">
        <x:v>可信结论范围</x:v>
      </x:c>
      <x:c r="B14" t="str">
        <x:v>描述性与结构恒等分解</x:v>
      </x:c>
      <x:c r="C14" t="str">
        <x:v>不能宣称全省养老金份额或因果机制</x:v>
      </x:c>
      <x:c r="D14" t="str">
        <x:v>研究报告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3" hidden="0" customWidth="1"/>
    <x:col min="2" max="2" width="42" hidden="0" customWidth="1"/>
    <x:col min="3" max="3" width="26" hidden="0" customWidth="1"/>
    <x:col min="4" max="4" width="20" hidden="0" customWidth="1"/>
    <x:col min="5" max="5" width="13" hidden="0" customWidth="1"/>
    <x:col min="6" max="6" width="24" hidden="0" customWidth="1"/>
    <x:col min="7" max="7" width="38" hidden="0" customWidth="1"/>
    <x:col min="8" max="8" width="24" hidden="0" customWidth="1"/>
    <x:col min="9" max="9" width="35" hidden="0" customWidth="1"/>
    <x:col min="10" max="10" width="16" hidden="0" customWidth="1"/>
    <x:col min="11" max="11" width="55" hidden="0" customWidth="1"/>
  </x:cols>
  <x:sheetData>
    <x:row r="1" ht="29" customHeight="1">
      <x:c r="A1" s="89" t="str">
        <x:v>source_id</x:v>
      </x:c>
      <x:c r="B1" s="89" t="str">
        <x:v>报告/文件名</x:v>
      </x:c>
      <x:c r="C1" s="89" t="str">
        <x:v>发布单位</x:v>
      </x:c>
      <x:c r="D1" s="89" t="str">
        <x:v>统计地域</x:v>
      </x:c>
      <x:c r="E1" s="89" t="str">
        <x:v>研究年份</x:v>
      </x:c>
      <x:c r="F1" s="89" t="str">
        <x:v>证据形式</x:v>
      </x:c>
      <x:c r="G1" s="89" t="str">
        <x:v>来源URL</x:v>
      </x:c>
      <x:c r="H1" s="89" t="str">
        <x:v>等级</x:v>
      </x:c>
      <x:c r="I1" s="89" t="str">
        <x:v>原文定位</x:v>
      </x:c>
      <x:c r="J1" s="89" t="str">
        <x:v>发布日期</x:v>
      </x:c>
      <x:c r="K1" s="89" t="str">
        <x:v>缺口与警告</x:v>
      </x:c>
    </x:row>
    <x:row r="2">
      <x:c r="A2" t="str">
        <x:v>S01</x:v>
      </x:c>
      <x:c r="B2" t="str">
        <x:v>江西省2025年国民经济和社会发展统计公报</x:v>
      </x:c>
      <x:c r="C2" t="str">
        <x:v>江西省统计局、国家统计局江西调查总队</x:v>
      </x:c>
      <x:c r="D2" t="str">
        <x:v>江西省</x:v>
      </x:c>
      <x:c r="E2" t="str">
        <x:v>2025</x:v>
      </x:c>
      <x:c r="F2" t="str">
        <x:v>官方公报刊载</x:v>
      </x:c>
      <x:c r="G2" t="str">
        <x:v>https://epaper.jxxw.com.cn/html/2026-03/27/content_7_88438.htm</x:v>
      </x:c>
      <x:c r="H2" t="str">
        <x:v>A-官方发布渠道</x:v>
      </x:c>
      <x:c r="I2" t="str">
        <x:v>综合、就业、社保章节</x:v>
      </x:c>
      <x:c r="J2" t="str">
        <x:v>2026-03-27</x:v>
      </x:c>
      <x:c r="K2" t="str">
        <x:v>无法下载原始网页文件；已在检索工具核对文字</x:v>
      </x:c>
    </x:row>
    <x:row r="3">
      <x:c r="A3" t="str">
        <x:v>S02</x:v>
      </x:c>
      <x:c r="B3" t="str">
        <x:v>峡江县2025年国民经济和社会发展统计公报</x:v>
      </x:c>
      <x:c r="C3" t="str">
        <x:v>署名峡江县统计局</x:v>
      </x:c>
      <x:c r="D3" t="str">
        <x:v>峡江县</x:v>
      </x:c>
      <x:c r="E3" t="str">
        <x:v>2025</x:v>
      </x:c>
      <x:c r="F3" t="str">
        <x:v>第三方统计公报转载</x:v>
      </x:c>
      <x:c r="G3" t="str">
        <x:v>https://tjgb.hongheiku.com/xjtjgb/xj2020/73609.html</x:v>
      </x:c>
      <x:c r="H3" t="str">
        <x:v>B-原文转载待官方终核</x:v>
      </x:c>
      <x:c r="I3" t="str">
        <x:v>十、人口就业、人民生活和社会保障</x:v>
      </x:c>
      <x:c r="J3" t="str">
        <x:v>2026-06-07</x:v>
      </x:c>
      <x:c r="K3" t="str">
        <x:v>尚未取得可访问的2025县政府原文；数据为年度快报</x:v>
      </x:c>
    </x:row>
    <x:row r="4">
      <x:c r="A4" t="str">
        <x:v>S03</x:v>
      </x:c>
      <x:c r="B4" t="str">
        <x:v>峡江县2024年国民经济和社会发展统计公报</x:v>
      </x:c>
      <x:c r="C4" t="str">
        <x:v>署名峡江县统计局</x:v>
      </x:c>
      <x:c r="D4" t="str">
        <x:v>峡江县</x:v>
      </x:c>
      <x:c r="E4" t="str">
        <x:v>2024</x:v>
      </x:c>
      <x:c r="F4" t="str">
        <x:v>第三方转载＋官方搜索摘要</x:v>
      </x:c>
      <x:c r="G4" t="str">
        <x:v>https://tjgb.hongheiku.com/xjtjgb/xj2020/65339.html</x:v>
      </x:c>
      <x:c r="H4" t="str">
        <x:v>B-转载/局部官方确认</x:v>
      </x:c>
      <x:c r="I4" t="str">
        <x:v>十、人口就业、人民生活和社会保障</x:v>
      </x:c>
      <x:c r="J4" t="str">
        <x:v>2025-07-09</x:v>
      </x:c>
      <x:c r="K4" t="str">
        <x:v>县政府2024版本链接 https://m.xiajiang.gov.cn/news-show-52834.html 访问超时</x:v>
      </x:c>
    </x:row>
    <x:row r="5">
      <x:c r="A5" t="str">
        <x:v>S04</x:v>
      </x:c>
      <x:c r="B5" t="str">
        <x:v>吉安县2025年国民经济和社会发展统计公报</x:v>
      </x:c>
      <x:c r="C5" t="str">
        <x:v>署名吉安县相关统计部门</x:v>
      </x:c>
      <x:c r="D5" t="str">
        <x:v>吉安县</x:v>
      </x:c>
      <x:c r="E5" t="str">
        <x:v>2025</x:v>
      </x:c>
      <x:c r="F5" t="str">
        <x:v>第三方平台公报全文</x:v>
      </x:c>
      <x:c r="G5" t="str">
        <x:v>https://maptable.com/tjgb/2025/%E5%90%89%E5%AE%89%E5%B8%82/%E5%90%89%E5%AE%89%E5%8E%BF/report/ji-an-shi-ji-an-xian-2025-nian-guo-min-jing-ji-he-she-hui-fa-zhan-tong-ji-gong-bao</x:v>
      </x:c>
      <x:c r="H5" t="str">
        <x:v>B-原文转载待官方终核</x:v>
      </x:c>
      <x:c r="I5" t="str">
        <x:v>九、人民生活与社会保障</x:v>
      </x:c>
      <x:c r="J5" t="str">
        <x:v>2026</x:v>
      </x:c>
      <x:c r="K5" t="str">
        <x:v>未找到县政府原始发布全文；只有养老金金额、无分制度待遇领取人数</x:v>
      </x:c>
    </x:row>
    <x:row r="6">
      <x:c r="A6" t="str">
        <x:v>S05</x:v>
      </x:c>
      <x:c r="B6" t="str">
        <x:v>2025年赣州常住人口总量总体稳定 城镇化率突破60%</x:v>
      </x:c>
      <x:c r="C6" t="str">
        <x:v>赣州市统计局</x:v>
      </x:c>
      <x:c r="D6" t="str">
        <x:v>赣州市及分县</x:v>
      </x:c>
      <x:c r="E6" t="str">
        <x:v>2025</x:v>
      </x:c>
      <x:c r="F6" t="str">
        <x:v>市政府官网原文</x:v>
      </x:c>
      <x:c r="G6" t="str">
        <x:v>https://www.ganzhou.gov.cn/zfxxgk/tjzdtjfx/202605/1b10c9c94cf1443f851d6523be5863d3.shtml</x:v>
      </x:c>
      <x:c r="H6" t="str">
        <x:v>A-政府原始发布</x:v>
      </x:c>
      <x:c r="I6" t="str">
        <x:v>正文与各县常住人口表</x:v>
      </x:c>
      <x:c r="J6" t="str">
        <x:v>2026-05-14</x:v>
      </x:c>
      <x:c r="K6" t="str">
        <x:v>含20个统计片区，县级建制18个；功能区不得混入行政区合计</x:v>
      </x:c>
    </x:row>
    <x:row r="7">
      <x:c r="A7" t="str">
        <x:v>S06</x:v>
      </x:c>
      <x:c r="B7" t="str">
        <x:v>赣州2024年各县（市、区）常住人口主要指标</x:v>
      </x:c>
      <x:c r="C7" t="str">
        <x:v>赣州市统计局</x:v>
      </x:c>
      <x:c r="D7" t="str">
        <x:v>赣州市及分县</x:v>
      </x:c>
      <x:c r="E7" t="str">
        <x:v>2024</x:v>
      </x:c>
      <x:c r="F7" t="str">
        <x:v>市政府官网原文</x:v>
      </x:c>
      <x:c r="G7" t="str">
        <x:v>https://www.ganzhou.gov.cn/zfxxgk/c100093n1/202503/c7bfdc7911ac4c898c559e58a215509a.shtml</x:v>
      </x:c>
      <x:c r="H7" t="str">
        <x:v>A-政府原始发布</x:v>
      </x:c>
      <x:c r="I7" t="str">
        <x:v>常住人口、性别比、城镇化率表</x:v>
      </x:c>
      <x:c r="J7" t="str">
        <x:v>2025-03-22</x:v>
      </x:c>
      <x:c r="K7" t="str">
        <x:v>人口以万人两位小数发布，增量含舍入误差</x:v>
      </x:c>
    </x:row>
    <x:row r="8">
      <x:c r="A8" t="str">
        <x:v>S07</x:v>
      </x:c>
      <x:c r="B8" t="str">
        <x:v>石城县2025年国民经济和社会发展统计公报</x:v>
      </x:c>
      <x:c r="C8" t="str">
        <x:v>石城县统计局</x:v>
      </x:c>
      <x:c r="D8" t="str">
        <x:v>石城县</x:v>
      </x:c>
      <x:c r="E8" t="str">
        <x:v>2025</x:v>
      </x:c>
      <x:c r="F8" t="str">
        <x:v>县政府官网原文</x:v>
      </x:c>
      <x:c r="G8" t="str">
        <x:v>https://www.shicheng.gov.cn/scxxxgk/tjgb/202604/adc5c0bf738b43f3b5b80a2693d08ed4.shtml</x:v>
      </x:c>
      <x:c r="H8" t="str">
        <x:v>A-政府原始发布</x:v>
      </x:c>
      <x:c r="I8" t="str">
        <x:v>一、综合；九、人口、人民生活、社会保障</x:v>
      </x:c>
      <x:c r="J8" t="str">
        <x:v>2026-04-21</x:v>
      </x:c>
      <x:c r="K8" t="str">
        <x:v>60岁及以上人数是户籍人口口径；不得除以常住人口</x:v>
      </x:c>
    </x:row>
    <x:row r="9">
      <x:c r="A9" t="str">
        <x:v>S08</x:v>
      </x:c>
      <x:c r="B9" t="str">
        <x:v>江西省住房公积金2025年年度报告</x:v>
      </x:c>
      <x:c r="C9" t="str">
        <x:v>江西省住房和城乡建设厅</x:v>
      </x:c>
      <x:c r="D9" t="str">
        <x:v>江西省/设区市</x:v>
      </x:c>
      <x:c r="E9" t="str">
        <x:v>2025</x:v>
      </x:c>
      <x:c r="F9" t="str">
        <x:v>省住建厅原始通知及官方内容转载</x:v>
      </x:c>
      <x:c r="G9" t="str">
        <x:v>https://zjt.jiangxi.gov.cn/jxszfhcxjst/wjtz/pc/content/content_2049308288025104384.html</x:v>
      </x:c>
      <x:c r="H9" t="str">
        <x:v>A-主管部门发布/可检索</x:v>
      </x:c>
      <x:c r="I9" t="str">
        <x:v>二、业务运行情况：缴存、提取、贷款</x:v>
      </x:c>
      <x:c r="J9" t="str">
        <x:v>2026-04-30</x:v>
      </x:c>
      <x:c r="K9" t="str">
        <x:v>市级表格来自既有工作簿，须对照官方图片逐行最终核验</x:v>
      </x:c>
    </x:row>
    <x:row r="10">
      <x:c r="A10" t="str">
        <x:v>S09</x:v>
      </x:c>
      <x:c r="B10" t="str">
        <x:v>江西省2025年全省和省级预算执行情况与2026年预算草案报告</x:v>
      </x:c>
      <x:c r="C10" t="str">
        <x:v>江西省财政厅</x:v>
      </x:c>
      <x:c r="D10" t="str">
        <x:v>江西省全省/省级</x:v>
      </x:c>
      <x:c r="E10" t="str">
        <x:v>2025执行</x:v>
      </x:c>
      <x:c r="F10" t="str">
        <x:v>省人大会议文件（江西日报）</x:v>
      </x:c>
      <x:c r="G10" t="str">
        <x:v>https://jiangxi.jxnews.com.cn/system/2026/02/09/031051192.shtml</x:v>
      </x:c>
      <x:c r="H10" t="str">
        <x:v>A-政府预算报告</x:v>
      </x:c>
      <x:c r="I10" t="str">
        <x:v>2025全省与省级社会保险基金预算执行</x:v>
      </x:c>
      <x:c r="J10" t="str">
        <x:v>2026-02-09</x:v>
      </x:c>
      <x:c r="K10" t="str">
        <x:v>全省与省级分开，不是仅基本养老金</x:v>
      </x:c>
    </x:row>
    <x:row r="11">
      <x:c r="A11" t="str">
        <x:v>S10</x:v>
      </x:c>
      <x:c r="B11" t="str">
        <x:v>江西省2025年省级决算和2026年上半年预算执行情况报告</x:v>
      </x:c>
      <x:c r="C11" t="str">
        <x:v>江西省人民政府、省人大新闻</x:v>
      </x:c>
      <x:c r="D11" t="str">
        <x:v>江西省省级</x:v>
      </x:c>
      <x:c r="E11" t="str">
        <x:v>2025决算</x:v>
      </x:c>
      <x:c r="F11" t="str">
        <x:v>人大网站公报</x:v>
      </x:c>
      <x:c r="G11" t="str">
        <x:v>https://jxrd.jxnews.com.cn/system/2026/08/11/031215391.shtml</x:v>
      </x:c>
      <x:c r="H11" t="str">
        <x:v>A-人大公报</x:v>
      </x:c>
      <x:c r="I11" t="str">
        <x:v>2025省级社保基金预算决算</x:v>
      </x:c>
      <x:c r="J11" t="str">
        <x:v>2026-08-11</x:v>
      </x:c>
      <x:c r="K11" t="str">
        <x:v>省级决算不得与全省执行混合或加总</x:v>
      </x:c>
    </x:row>
    <x:row r="12">
      <x:c r="A12" t="str">
        <x:v>S11</x:v>
      </x:c>
      <x:c r="B12" t="str">
        <x:v>江西省2025年平均工资公布</x:v>
      </x:c>
      <x:c r="C12" t="str">
        <x:v>江西省统计局(江西统计)；赣江新区官网转载</x:v>
      </x:c>
      <x:c r="D12" t="str">
        <x:v>江西省</x:v>
      </x:c>
      <x:c r="E12" t="str">
        <x:v>2025</x:v>
      </x:c>
      <x:c r="F12" t="str">
        <x:v>政府网页转载主管部门发布</x:v>
      </x:c>
      <x:c r="G12" t="str">
        <x:v>https://www.jdzzsq.gov.cn/qrsj/qtfdgkxx/gzdt/t1095997.shtml</x:v>
      </x:c>
      <x:c r="H12" t="str">
        <x:v>A-政府系统转载</x:v>
      </x:c>
      <x:c r="I12" t="str">
        <x:v>城镇非私营与私营就业人员工资</x:v>
      </x:c>
      <x:c r="J12" t="str">
        <x:v>2026-06-26</x:v>
      </x:c>
      <x:c r="K12" t="str">
        <x:v>不同单位类型、样本构成；不能当同职业待遇差异</x:v>
      </x:c>
    </x:row>
    <x:row r="13">
      <x:c r="A13" t="str">
        <x:v>S12</x:v>
      </x:c>
      <x:c r="B13" t="str">
        <x:v>县以上行政区划代码截至2024-12-31</x:v>
      </x:c>
      <x:c r="C13" t="str">
        <x:v>县级区划代码汇编站点</x:v>
      </x:c>
      <x:c r="D13" t="str">
        <x:v>江西省100县级单位</x:v>
      </x:c>
      <x:c r="E13" t="str">
        <x:v>2024</x:v>
      </x:c>
      <x:c r="F13" t="str">
        <x:v>第三方代码汇编</x:v>
      </x:c>
      <x:c r="G13" t="str">
        <x:v>https://www.zxinc.org/gb2260-2024.htm</x:v>
      </x:c>
      <x:c r="H13" t="str">
        <x:v>B-2024代码待2025民政部核</x:v>
      </x:c>
      <x:c r="I13" t="str">
        <x:v>江西省360000段</x:v>
      </x:c>
      <x:c r="J13" t="str">
        <x:v>2024-12-31</x:v>
      </x:c>
      <x:c r="K13" t="str">
        <x:v>未取得2025末民政部名录，不能标注为2025已官方确认</x:v>
      </x:c>
    </x:row>
    <x:row r="14">
      <x:c r="A14" t="str">
        <x:v>S13</x:v>
      </x:c>
      <x:c r="B14" t="str">
        <x:v>江西省2025调整退休人员基本养老金政策执行</x:v>
      </x:c>
      <x:c r="C14" t="str">
        <x:v>财政部江西监管局</x:v>
      </x:c>
      <x:c r="D14" t="str">
        <x:v>江西省</x:v>
      </x:c>
      <x:c r="E14" t="str">
        <x:v>2025</x:v>
      </x:c>
      <x:c r="F14" t="str">
        <x:v>财政部监管局官网</x:v>
      </x:c>
      <x:c r="G14" t="str">
        <x:v>https://jx.mof.gov.cn/xxgk/tongzhitonggao/202507/t20250728_3968859.htm</x:v>
      </x:c>
      <x:c r="H14" t="str">
        <x:v>A-中央部门官网</x:v>
      </x:c>
      <x:c r="I14" t="str">
        <x:v>相关养老金调整政策</x:v>
      </x:c>
      <x:c r="J14" t="str">
        <x:v>2025-07</x:v>
      </x:c>
      <x:c r="K14" t="str">
        <x:v>调整与各群体待遇水平差异需分别研究</x:v>
      </x:c>
    </x:row>
    <x:row r="15">
      <x:c r="A15" t="str">
        <x:v>S14</x:v>
      </x:c>
      <x:c r="B15" t="str">
        <x:v>中华人民共和国2025年国民经济和社会发展统计公报</x:v>
      </x:c>
      <x:c r="C15" t="str">
        <x:v>国家统计局</x:v>
      </x:c>
      <x:c r="D15" t="str">
        <x:v>全国</x:v>
      </x:c>
      <x:c r="E15" t="str">
        <x:v>2025</x:v>
      </x:c>
      <x:c r="F15" t="str">
        <x:v>国家统计局官网</x:v>
      </x:c>
      <x:c r="G15" t="str">
        <x:v>https://www.stats.gov.cn/sj/zxfbhjd/202602/t20260228_1962662.html</x:v>
      </x:c>
      <x:c r="H15" t="str">
        <x:v>A-国家统计局原文</x:v>
      </x:c>
      <x:c r="I15" t="str">
        <x:v>一、综合，人口与就业</x:v>
      </x:c>
      <x:c r="J15" t="str">
        <x:v>2026-02-28</x:v>
      </x:c>
      <x:c r="K15" t="str">
        <x:v>全国背景，不可用于替代江西县级指标</x:v>
      </x:c>
    </x:row>
    <x:row r="16">
      <x:c r="A16" t="str">
        <x:v>S15</x:v>
      </x:c>
      <x:c r="B16" t="str">
        <x:v>江西省2025年公积金年报官方稿转发</x:v>
      </x:c>
      <x:c r="C16" t="str">
        <x:v>江西住建官方稿、凤凰网江西频道</x:v>
      </x:c>
      <x:c r="D16" t="str">
        <x:v>江西省</x:v>
      </x:c>
      <x:c r="E16" t="str">
        <x:v>2025</x:v>
      </x:c>
      <x:c r="F16" t="str">
        <x:v>政府官方内容媒体转载</x:v>
      </x:c>
      <x:c r="G16" t="str">
        <x:v>https://jx.ifeng.com/c/8sk35lBJNwe</x:v>
      </x:c>
      <x:c r="H16" t="str">
        <x:v>B-官方内容转载</x:v>
      </x:c>
      <x:c r="I16" t="str">
        <x:v>缴存、提取、住房贷款</x:v>
      </x:c>
      <x:c r="J16" t="str">
        <x:v>2026-04-30</x:v>
      </x:c>
      <x:c r="K16" t="str">
        <x:v>官网页面访问超时情况下交叉核验总计；不自动背书市级截图转录</x:v>
      </x:c>
    </x:row>
    <x:row r="17">
      <x:c r="A17" t="str">
        <x:v>S16</x:v>
      </x:c>
      <x:c r="B17" t="str">
        <x:v>江西省行政区划（2025年）</x:v>
      </x:c>
      <x:c r="C17" t="str">
        <x:v>区划地名网</x:v>
      </x:c>
      <x:c r="D17" t="str">
        <x:v>江西省</x:v>
      </x:c>
      <x:c r="E17" t="str">
        <x:v>2025</x:v>
      </x:c>
      <x:c r="F17" t="str">
        <x:v>第三方按年度行政名录</x:v>
      </x:c>
      <x:c r="G17" t="str">
        <x:v>https://xzqh.org/show/china/36/2025.html</x:v>
      </x:c>
      <x:c r="H17" t="str">
        <x:v>B-行政区划二手索引</x:v>
      </x:c>
      <x:c r="I17" t="str">
        <x:v>2025末11市100县级单位</x:v>
      </x:c>
      <x:c r="J17" t="str">
        <x:v>2025</x:v>
      </x:c>
      <x:c r="K17" t="str">
        <x:v>2025数目与既有100县表相符；民政部为最终编码源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3" hidden="0" customWidth="1"/>
    <x:col min="3" max="3" width="16" hidden="0" customWidth="1"/>
    <x:col min="4" max="4" width="18" hidden="0" customWidth="1"/>
    <x:col min="5" max="5" width="13" hidden="0" customWidth="1"/>
    <x:col min="6" max="6" width="36" hidden="0" customWidth="1"/>
    <x:col min="7" max="7" width="17" hidden="0" customWidth="1"/>
    <x:col min="8" max="8" width="38" hidden="0" customWidth="1"/>
  </x:cols>
  <x:sheetData>
    <x:row r="1" ht="29" customHeight="1">
      <x:c r="A1" s="89" t="str">
        <x:v>区划代码</x:v>
      </x:c>
      <x:c r="B1" s="89" t="str">
        <x:v>省</x:v>
      </x:c>
      <x:c r="C1" s="89" t="str">
        <x:v>地级市</x:v>
      </x:c>
      <x:c r="D1" s="89" t="str">
        <x:v>县级区</x:v>
      </x:c>
      <x:c r="E1" s="89" t="str">
        <x:v>行政类型</x:v>
      </x:c>
      <x:c r="F1" s="89" t="str">
        <x:v>代码参照源</x:v>
      </x:c>
      <x:c r="G1" s="89" t="str">
        <x:v>代码基期</x:v>
      </x:c>
      <x:c r="H1" s="89" t="str">
        <x:v>2025官方核验情况</x:v>
      </x:c>
    </x:row>
    <x:row r="2">
      <x:c r="A2" t="str">
        <x:v>360102</x:v>
      </x:c>
      <x:c r="B2" t="str">
        <x:v>江西省</x:v>
      </x:c>
      <x:c r="C2" t="str">
        <x:v>南昌市</x:v>
      </x:c>
      <x:c r="D2" t="str">
        <x:v>东湖区</x:v>
      </x:c>
      <x:c r="E2" t="str">
        <x:v>区</x:v>
      </x:c>
      <x:c r="F2" t="str">
        <x:v>https://www.zxinc.org/gb2260-2024.htm</x:v>
      </x:c>
      <x:c r="G2" t="str">
        <x:v>2024-12-31</x:v>
      </x:c>
      <x:c r="H2" t="str">
        <x:v>2025年末官方代码待最终逐项核对</x:v>
      </x:c>
    </x:row>
    <x:row r="3">
      <x:c r="A3" t="str">
        <x:v>360103</x:v>
      </x:c>
      <x:c r="B3" t="str">
        <x:v>江西省</x:v>
      </x:c>
      <x:c r="C3" t="str">
        <x:v>南昌市</x:v>
      </x:c>
      <x:c r="D3" t="str">
        <x:v>西湖区</x:v>
      </x:c>
      <x:c r="E3" t="str">
        <x:v>区</x:v>
      </x:c>
      <x:c r="F3" t="str">
        <x:v>https://www.zxinc.org/gb2260-2024.htm</x:v>
      </x:c>
      <x:c r="G3" t="str">
        <x:v>2024-12-31</x:v>
      </x:c>
      <x:c r="H3" t="str">
        <x:v>2025年末官方代码待最终逐项核对</x:v>
      </x:c>
    </x:row>
    <x:row r="4">
      <x:c r="A4" t="str">
        <x:v>360104</x:v>
      </x:c>
      <x:c r="B4" t="str">
        <x:v>江西省</x:v>
      </x:c>
      <x:c r="C4" t="str">
        <x:v>南昌市</x:v>
      </x:c>
      <x:c r="D4" t="str">
        <x:v>青云谱区</x:v>
      </x:c>
      <x:c r="E4" t="str">
        <x:v>区</x:v>
      </x:c>
      <x:c r="F4" t="str">
        <x:v>https://www.zxinc.org/gb2260-2024.htm</x:v>
      </x:c>
      <x:c r="G4" t="str">
        <x:v>2024-12-31</x:v>
      </x:c>
      <x:c r="H4" t="str">
        <x:v>2025年末官方代码待最终逐项核对</x:v>
      </x:c>
    </x:row>
    <x:row r="5">
      <x:c r="A5" t="str">
        <x:v>360111</x:v>
      </x:c>
      <x:c r="B5" t="str">
        <x:v>江西省</x:v>
      </x:c>
      <x:c r="C5" t="str">
        <x:v>南昌市</x:v>
      </x:c>
      <x:c r="D5" t="str">
        <x:v>青山湖区</x:v>
      </x:c>
      <x:c r="E5" t="str">
        <x:v>区</x:v>
      </x:c>
      <x:c r="F5" t="str">
        <x:v>https://www.zxinc.org/gb2260-2024.htm</x:v>
      </x:c>
      <x:c r="G5" t="str">
        <x:v>2024-12-31</x:v>
      </x:c>
      <x:c r="H5" t="str">
        <x:v>2025年末官方代码待最终逐项核对</x:v>
      </x:c>
    </x:row>
    <x:row r="6">
      <x:c r="A6" t="str">
        <x:v>360112</x:v>
      </x:c>
      <x:c r="B6" t="str">
        <x:v>江西省</x:v>
      </x:c>
      <x:c r="C6" t="str">
        <x:v>南昌市</x:v>
      </x:c>
      <x:c r="D6" t="str">
        <x:v>新建区</x:v>
      </x:c>
      <x:c r="E6" t="str">
        <x:v>区</x:v>
      </x:c>
      <x:c r="F6" t="str">
        <x:v>https://www.zxinc.org/gb2260-2024.htm</x:v>
      </x:c>
      <x:c r="G6" t="str">
        <x:v>2024-12-31</x:v>
      </x:c>
      <x:c r="H6" t="str">
        <x:v>2025年末官方代码待最终逐项核对</x:v>
      </x:c>
    </x:row>
    <x:row r="7">
      <x:c r="A7" t="str">
        <x:v>360113</x:v>
      </x:c>
      <x:c r="B7" t="str">
        <x:v>江西省</x:v>
      </x:c>
      <x:c r="C7" t="str">
        <x:v>南昌市</x:v>
      </x:c>
      <x:c r="D7" t="str">
        <x:v>红谷滩区</x:v>
      </x:c>
      <x:c r="E7" t="str">
        <x:v>区</x:v>
      </x:c>
      <x:c r="F7" t="str">
        <x:v>https://www.zxinc.org/gb2260-2024.htm</x:v>
      </x:c>
      <x:c r="G7" t="str">
        <x:v>2024-12-31</x:v>
      </x:c>
      <x:c r="H7" t="str">
        <x:v>2025年末官方代码待最终逐项核对</x:v>
      </x:c>
    </x:row>
    <x:row r="8">
      <x:c r="A8" t="str">
        <x:v>360121</x:v>
      </x:c>
      <x:c r="B8" t="str">
        <x:v>江西省</x:v>
      </x:c>
      <x:c r="C8" t="str">
        <x:v>南昌市</x:v>
      </x:c>
      <x:c r="D8" t="str">
        <x:v>南昌县</x:v>
      </x:c>
      <x:c r="E8" t="str">
        <x:v>县</x:v>
      </x:c>
      <x:c r="F8" t="str">
        <x:v>https://www.zxinc.org/gb2260-2024.htm</x:v>
      </x:c>
      <x:c r="G8" t="str">
        <x:v>2024-12-31</x:v>
      </x:c>
      <x:c r="H8" t="str">
        <x:v>2025年末官方代码待最终逐项核对</x:v>
      </x:c>
    </x:row>
    <x:row r="9">
      <x:c r="A9" t="str">
        <x:v>360123</x:v>
      </x:c>
      <x:c r="B9" t="str">
        <x:v>江西省</x:v>
      </x:c>
      <x:c r="C9" t="str">
        <x:v>南昌市</x:v>
      </x:c>
      <x:c r="D9" t="str">
        <x:v>安义县</x:v>
      </x:c>
      <x:c r="E9" t="str">
        <x:v>县</x:v>
      </x:c>
      <x:c r="F9" t="str">
        <x:v>https://www.zxinc.org/gb2260-2024.htm</x:v>
      </x:c>
      <x:c r="G9" t="str">
        <x:v>2024-12-31</x:v>
      </x:c>
      <x:c r="H9" t="str">
        <x:v>2025年末官方代码待最终逐项核对</x:v>
      </x:c>
    </x:row>
    <x:row r="10">
      <x:c r="A10" t="str">
        <x:v>360124</x:v>
      </x:c>
      <x:c r="B10" t="str">
        <x:v>江西省</x:v>
      </x:c>
      <x:c r="C10" t="str">
        <x:v>南昌市</x:v>
      </x:c>
      <x:c r="D10" t="str">
        <x:v>进贤县</x:v>
      </x:c>
      <x:c r="E10" t="str">
        <x:v>县</x:v>
      </x:c>
      <x:c r="F10" t="str">
        <x:v>https://www.zxinc.org/gb2260-2024.htm</x:v>
      </x:c>
      <x:c r="G10" t="str">
        <x:v>2024-12-31</x:v>
      </x:c>
      <x:c r="H10" t="str">
        <x:v>2025年末官方代码待最终逐项核对</x:v>
      </x:c>
    </x:row>
    <x:row r="11">
      <x:c r="A11" t="str">
        <x:v>360202</x:v>
      </x:c>
      <x:c r="B11" t="str">
        <x:v>江西省</x:v>
      </x:c>
      <x:c r="C11" t="str">
        <x:v>景德镇市</x:v>
      </x:c>
      <x:c r="D11" t="str">
        <x:v>昌江区</x:v>
      </x:c>
      <x:c r="E11" t="str">
        <x:v>区</x:v>
      </x:c>
      <x:c r="F11" t="str">
        <x:v>https://www.zxinc.org/gb2260-2024.htm</x:v>
      </x:c>
      <x:c r="G11" t="str">
        <x:v>2024-12-31</x:v>
      </x:c>
      <x:c r="H11" t="str">
        <x:v>2025年末官方代码待最终逐项核对</x:v>
      </x:c>
    </x:row>
    <x:row r="12">
      <x:c r="A12" t="str">
        <x:v>360203</x:v>
      </x:c>
      <x:c r="B12" t="str">
        <x:v>江西省</x:v>
      </x:c>
      <x:c r="C12" t="str">
        <x:v>景德镇市</x:v>
      </x:c>
      <x:c r="D12" t="str">
        <x:v>珠山区</x:v>
      </x:c>
      <x:c r="E12" t="str">
        <x:v>区</x:v>
      </x:c>
      <x:c r="F12" t="str">
        <x:v>https://www.zxinc.org/gb2260-2024.htm</x:v>
      </x:c>
      <x:c r="G12" t="str">
        <x:v>2024-12-31</x:v>
      </x:c>
      <x:c r="H12" t="str">
        <x:v>2025年末官方代码待最终逐项核对</x:v>
      </x:c>
    </x:row>
    <x:row r="13">
      <x:c r="A13" t="str">
        <x:v>360281</x:v>
      </x:c>
      <x:c r="B13" t="str">
        <x:v>江西省</x:v>
      </x:c>
      <x:c r="C13" t="str">
        <x:v>景德镇市</x:v>
      </x:c>
      <x:c r="D13" t="str">
        <x:v>乐平市</x:v>
      </x:c>
      <x:c r="E13" t="str">
        <x:v>县级市</x:v>
      </x:c>
      <x:c r="F13" t="str">
        <x:v>https://www.zxinc.org/gb2260-2024.htm</x:v>
      </x:c>
      <x:c r="G13" t="str">
        <x:v>2024-12-31</x:v>
      </x:c>
      <x:c r="H13" t="str">
        <x:v>2025年末官方代码待最终逐项核对</x:v>
      </x:c>
    </x:row>
    <x:row r="14">
      <x:c r="A14" t="str">
        <x:v>360222</x:v>
      </x:c>
      <x:c r="B14" t="str">
        <x:v>江西省</x:v>
      </x:c>
      <x:c r="C14" t="str">
        <x:v>景德镇市</x:v>
      </x:c>
      <x:c r="D14" t="str">
        <x:v>浮梁县</x:v>
      </x:c>
      <x:c r="E14" t="str">
        <x:v>县</x:v>
      </x:c>
      <x:c r="F14" t="str">
        <x:v>https://www.zxinc.org/gb2260-2024.htm</x:v>
      </x:c>
      <x:c r="G14" t="str">
        <x:v>2024-12-31</x:v>
      </x:c>
      <x:c r="H14" t="str">
        <x:v>2025年末官方代码待最终逐项核对</x:v>
      </x:c>
    </x:row>
    <x:row r="15">
      <x:c r="A15" t="str">
        <x:v>360302</x:v>
      </x:c>
      <x:c r="B15" t="str">
        <x:v>江西省</x:v>
      </x:c>
      <x:c r="C15" t="str">
        <x:v>萍乡市</x:v>
      </x:c>
      <x:c r="D15" t="str">
        <x:v>安源区</x:v>
      </x:c>
      <x:c r="E15" t="str">
        <x:v>区</x:v>
      </x:c>
      <x:c r="F15" t="str">
        <x:v>https://www.zxinc.org/gb2260-2024.htm</x:v>
      </x:c>
      <x:c r="G15" t="str">
        <x:v>2024-12-31</x:v>
      </x:c>
      <x:c r="H15" t="str">
        <x:v>2025年末官方代码待最终逐项核对</x:v>
      </x:c>
    </x:row>
    <x:row r="16">
      <x:c r="A16" t="str">
        <x:v>360313</x:v>
      </x:c>
      <x:c r="B16" t="str">
        <x:v>江西省</x:v>
      </x:c>
      <x:c r="C16" t="str">
        <x:v>萍乡市</x:v>
      </x:c>
      <x:c r="D16" t="str">
        <x:v>湘东区</x:v>
      </x:c>
      <x:c r="E16" t="str">
        <x:v>区</x:v>
      </x:c>
      <x:c r="F16" t="str">
        <x:v>https://www.zxinc.org/gb2260-2024.htm</x:v>
      </x:c>
      <x:c r="G16" t="str">
        <x:v>2024-12-31</x:v>
      </x:c>
      <x:c r="H16" t="str">
        <x:v>2025年末官方代码待最终逐项核对</x:v>
      </x:c>
    </x:row>
    <x:row r="17">
      <x:c r="A17" t="str">
        <x:v>360321</x:v>
      </x:c>
      <x:c r="B17" t="str">
        <x:v>江西省</x:v>
      </x:c>
      <x:c r="C17" t="str">
        <x:v>萍乡市</x:v>
      </x:c>
      <x:c r="D17" t="str">
        <x:v>莲花县</x:v>
      </x:c>
      <x:c r="E17" t="str">
        <x:v>县</x:v>
      </x:c>
      <x:c r="F17" t="str">
        <x:v>https://www.zxinc.org/gb2260-2024.htm</x:v>
      </x:c>
      <x:c r="G17" t="str">
        <x:v>2024-12-31</x:v>
      </x:c>
      <x:c r="H17" t="str">
        <x:v>2025年末官方代码待最终逐项核对</x:v>
      </x:c>
    </x:row>
    <x:row r="18">
      <x:c r="A18" t="str">
        <x:v>360322</x:v>
      </x:c>
      <x:c r="B18" t="str">
        <x:v>江西省</x:v>
      </x:c>
      <x:c r="C18" t="str">
        <x:v>萍乡市</x:v>
      </x:c>
      <x:c r="D18" t="str">
        <x:v>上栗县</x:v>
      </x:c>
      <x:c r="E18" t="str">
        <x:v>县</x:v>
      </x:c>
      <x:c r="F18" t="str">
        <x:v>https://www.zxinc.org/gb2260-2024.htm</x:v>
      </x:c>
      <x:c r="G18" t="str">
        <x:v>2024-12-31</x:v>
      </x:c>
      <x:c r="H18" t="str">
        <x:v>2025年末官方代码待最终逐项核对</x:v>
      </x:c>
    </x:row>
    <x:row r="19">
      <x:c r="A19" t="str">
        <x:v>360323</x:v>
      </x:c>
      <x:c r="B19" t="str">
        <x:v>江西省</x:v>
      </x:c>
      <x:c r="C19" t="str">
        <x:v>萍乡市</x:v>
      </x:c>
      <x:c r="D19" t="str">
        <x:v>芦溪县</x:v>
      </x:c>
      <x:c r="E19" t="str">
        <x:v>县</x:v>
      </x:c>
      <x:c r="F19" t="str">
        <x:v>https://www.zxinc.org/gb2260-2024.htm</x:v>
      </x:c>
      <x:c r="G19" t="str">
        <x:v>2024-12-31</x:v>
      </x:c>
      <x:c r="H19" t="str">
        <x:v>2025年末官方代码待最终逐项核对</x:v>
      </x:c>
    </x:row>
    <x:row r="20">
      <x:c r="A20" t="str">
        <x:v>360402</x:v>
      </x:c>
      <x:c r="B20" t="str">
        <x:v>江西省</x:v>
      </x:c>
      <x:c r="C20" t="str">
        <x:v>九江市</x:v>
      </x:c>
      <x:c r="D20" t="str">
        <x:v>濂溪区</x:v>
      </x:c>
      <x:c r="E20" t="str">
        <x:v>区</x:v>
      </x:c>
      <x:c r="F20" t="str">
        <x:v>https://www.zxinc.org/gb2260-2024.htm</x:v>
      </x:c>
      <x:c r="G20" t="str">
        <x:v>2024-12-31</x:v>
      </x:c>
      <x:c r="H20" t="str">
        <x:v>2025年末官方代码待最终逐项核对</x:v>
      </x:c>
    </x:row>
    <x:row r="21">
      <x:c r="A21" t="str">
        <x:v>360403</x:v>
      </x:c>
      <x:c r="B21" t="str">
        <x:v>江西省</x:v>
      </x:c>
      <x:c r="C21" t="str">
        <x:v>九江市</x:v>
      </x:c>
      <x:c r="D21" t="str">
        <x:v>浔阳区</x:v>
      </x:c>
      <x:c r="E21" t="str">
        <x:v>区</x:v>
      </x:c>
      <x:c r="F21" t="str">
        <x:v>https://www.zxinc.org/gb2260-2024.htm</x:v>
      </x:c>
      <x:c r="G21" t="str">
        <x:v>2024-12-31</x:v>
      </x:c>
      <x:c r="H21" t="str">
        <x:v>2025年末官方代码待最终逐项核对</x:v>
      </x:c>
    </x:row>
    <x:row r="22">
      <x:c r="A22" t="str">
        <x:v>360404</x:v>
      </x:c>
      <x:c r="B22" t="str">
        <x:v>江西省</x:v>
      </x:c>
      <x:c r="C22" t="str">
        <x:v>九江市</x:v>
      </x:c>
      <x:c r="D22" t="str">
        <x:v>柴桑区</x:v>
      </x:c>
      <x:c r="E22" t="str">
        <x:v>区</x:v>
      </x:c>
      <x:c r="F22" t="str">
        <x:v>https://www.zxinc.org/gb2260-2024.htm</x:v>
      </x:c>
      <x:c r="G22" t="str">
        <x:v>2024-12-31</x:v>
      </x:c>
      <x:c r="H22" t="str">
        <x:v>2025年末官方代码待最终逐项核对</x:v>
      </x:c>
    </x:row>
    <x:row r="23">
      <x:c r="A23" t="str">
        <x:v>360481</x:v>
      </x:c>
      <x:c r="B23" t="str">
        <x:v>江西省</x:v>
      </x:c>
      <x:c r="C23" t="str">
        <x:v>九江市</x:v>
      </x:c>
      <x:c r="D23" t="str">
        <x:v>瑞昌市</x:v>
      </x:c>
      <x:c r="E23" t="str">
        <x:v>县级市</x:v>
      </x:c>
      <x:c r="F23" t="str">
        <x:v>https://www.zxinc.org/gb2260-2024.htm</x:v>
      </x:c>
      <x:c r="G23" t="str">
        <x:v>2024-12-31</x:v>
      </x:c>
      <x:c r="H23" t="str">
        <x:v>2025年末官方代码待最终逐项核对</x:v>
      </x:c>
    </x:row>
    <x:row r="24">
      <x:c r="A24" t="str">
        <x:v>360482</x:v>
      </x:c>
      <x:c r="B24" t="str">
        <x:v>江西省</x:v>
      </x:c>
      <x:c r="C24" t="str">
        <x:v>九江市</x:v>
      </x:c>
      <x:c r="D24" t="str">
        <x:v>共青城市</x:v>
      </x:c>
      <x:c r="E24" t="str">
        <x:v>县级市</x:v>
      </x:c>
      <x:c r="F24" t="str">
        <x:v>https://www.zxinc.org/gb2260-2024.htm</x:v>
      </x:c>
      <x:c r="G24" t="str">
        <x:v>2024-12-31</x:v>
      </x:c>
      <x:c r="H24" t="str">
        <x:v>2025年末官方代码待最终逐项核对</x:v>
      </x:c>
    </x:row>
    <x:row r="25">
      <x:c r="A25" t="str">
        <x:v>360483</x:v>
      </x:c>
      <x:c r="B25" t="str">
        <x:v>江西省</x:v>
      </x:c>
      <x:c r="C25" t="str">
        <x:v>九江市</x:v>
      </x:c>
      <x:c r="D25" t="str">
        <x:v>庐山市</x:v>
      </x:c>
      <x:c r="E25" t="str">
        <x:v>县级市</x:v>
      </x:c>
      <x:c r="F25" t="str">
        <x:v>https://www.zxinc.org/gb2260-2024.htm</x:v>
      </x:c>
      <x:c r="G25" t="str">
        <x:v>2024-12-31</x:v>
      </x:c>
      <x:c r="H25" t="str">
        <x:v>2025年末官方代码待最终逐项核对</x:v>
      </x:c>
    </x:row>
    <x:row r="26">
      <x:c r="A26" t="str">
        <x:v>360423</x:v>
      </x:c>
      <x:c r="B26" t="str">
        <x:v>江西省</x:v>
      </x:c>
      <x:c r="C26" t="str">
        <x:v>九江市</x:v>
      </x:c>
      <x:c r="D26" t="str">
        <x:v>武宁县</x:v>
      </x:c>
      <x:c r="E26" t="str">
        <x:v>县</x:v>
      </x:c>
      <x:c r="F26" t="str">
        <x:v>https://www.zxinc.org/gb2260-2024.htm</x:v>
      </x:c>
      <x:c r="G26" t="str">
        <x:v>2024-12-31</x:v>
      </x:c>
      <x:c r="H26" t="str">
        <x:v>2025年末官方代码待最终逐项核对</x:v>
      </x:c>
    </x:row>
    <x:row r="27">
      <x:c r="A27" t="str">
        <x:v>360424</x:v>
      </x:c>
      <x:c r="B27" t="str">
        <x:v>江西省</x:v>
      </x:c>
      <x:c r="C27" t="str">
        <x:v>九江市</x:v>
      </x:c>
      <x:c r="D27" t="str">
        <x:v>修水县</x:v>
      </x:c>
      <x:c r="E27" t="str">
        <x:v>县</x:v>
      </x:c>
      <x:c r="F27" t="str">
        <x:v>https://www.zxinc.org/gb2260-2024.htm</x:v>
      </x:c>
      <x:c r="G27" t="str">
        <x:v>2024-12-31</x:v>
      </x:c>
      <x:c r="H27" t="str">
        <x:v>2025年末官方代码待最终逐项核对</x:v>
      </x:c>
    </x:row>
    <x:row r="28">
      <x:c r="A28" t="str">
        <x:v>360425</x:v>
      </x:c>
      <x:c r="B28" t="str">
        <x:v>江西省</x:v>
      </x:c>
      <x:c r="C28" t="str">
        <x:v>九江市</x:v>
      </x:c>
      <x:c r="D28" t="str">
        <x:v>永修县</x:v>
      </x:c>
      <x:c r="E28" t="str">
        <x:v>县</x:v>
      </x:c>
      <x:c r="F28" t="str">
        <x:v>https://www.zxinc.org/gb2260-2024.htm</x:v>
      </x:c>
      <x:c r="G28" t="str">
        <x:v>2024-12-31</x:v>
      </x:c>
      <x:c r="H28" t="str">
        <x:v>2025年末官方代码待最终逐项核对</x:v>
      </x:c>
    </x:row>
    <x:row r="29">
      <x:c r="A29" t="str">
        <x:v>360426</x:v>
      </x:c>
      <x:c r="B29" t="str">
        <x:v>江西省</x:v>
      </x:c>
      <x:c r="C29" t="str">
        <x:v>九江市</x:v>
      </x:c>
      <x:c r="D29" t="str">
        <x:v>德安县</x:v>
      </x:c>
      <x:c r="E29" t="str">
        <x:v>县</x:v>
      </x:c>
      <x:c r="F29" t="str">
        <x:v>https://www.zxinc.org/gb2260-2024.htm</x:v>
      </x:c>
      <x:c r="G29" t="str">
        <x:v>2024-12-31</x:v>
      </x:c>
      <x:c r="H29" t="str">
        <x:v>2025年末官方代码待最终逐项核对</x:v>
      </x:c>
    </x:row>
    <x:row r="30">
      <x:c r="A30" t="str">
        <x:v>360428</x:v>
      </x:c>
      <x:c r="B30" t="str">
        <x:v>江西省</x:v>
      </x:c>
      <x:c r="C30" t="str">
        <x:v>九江市</x:v>
      </x:c>
      <x:c r="D30" t="str">
        <x:v>都昌县</x:v>
      </x:c>
      <x:c r="E30" t="str">
        <x:v>县</x:v>
      </x:c>
      <x:c r="F30" t="str">
        <x:v>https://www.zxinc.org/gb2260-2024.htm</x:v>
      </x:c>
      <x:c r="G30" t="str">
        <x:v>2024-12-31</x:v>
      </x:c>
      <x:c r="H30" t="str">
        <x:v>2025年末官方代码待最终逐项核对</x:v>
      </x:c>
    </x:row>
    <x:row r="31">
      <x:c r="A31" t="str">
        <x:v>360429</x:v>
      </x:c>
      <x:c r="B31" t="str">
        <x:v>江西省</x:v>
      </x:c>
      <x:c r="C31" t="str">
        <x:v>九江市</x:v>
      </x:c>
      <x:c r="D31" t="str">
        <x:v>湖口县</x:v>
      </x:c>
      <x:c r="E31" t="str">
        <x:v>县</x:v>
      </x:c>
      <x:c r="F31" t="str">
        <x:v>https://www.zxinc.org/gb2260-2024.htm</x:v>
      </x:c>
      <x:c r="G31" t="str">
        <x:v>2024-12-31</x:v>
      </x:c>
      <x:c r="H31" t="str">
        <x:v>2025年末官方代码待最终逐项核对</x:v>
      </x:c>
    </x:row>
    <x:row r="32">
      <x:c r="A32" t="str">
        <x:v>360430</x:v>
      </x:c>
      <x:c r="B32" t="str">
        <x:v>江西省</x:v>
      </x:c>
      <x:c r="C32" t="str">
        <x:v>九江市</x:v>
      </x:c>
      <x:c r="D32" t="str">
        <x:v>彭泽县</x:v>
      </x:c>
      <x:c r="E32" t="str">
        <x:v>县</x:v>
      </x:c>
      <x:c r="F32" t="str">
        <x:v>https://www.zxinc.org/gb2260-2024.htm</x:v>
      </x:c>
      <x:c r="G32" t="str">
        <x:v>2024-12-31</x:v>
      </x:c>
      <x:c r="H32" t="str">
        <x:v>2025年末官方代码待最终逐项核对</x:v>
      </x:c>
    </x:row>
    <x:row r="33">
      <x:c r="A33" t="str">
        <x:v>360502</x:v>
      </x:c>
      <x:c r="B33" t="str">
        <x:v>江西省</x:v>
      </x:c>
      <x:c r="C33" t="str">
        <x:v>新余市</x:v>
      </x:c>
      <x:c r="D33" t="str">
        <x:v>渝水区</x:v>
      </x:c>
      <x:c r="E33" t="str">
        <x:v>区</x:v>
      </x:c>
      <x:c r="F33" t="str">
        <x:v>https://www.zxinc.org/gb2260-2024.htm</x:v>
      </x:c>
      <x:c r="G33" t="str">
        <x:v>2024-12-31</x:v>
      </x:c>
      <x:c r="H33" t="str">
        <x:v>2025年末官方代码待最终逐项核对</x:v>
      </x:c>
    </x:row>
    <x:row r="34">
      <x:c r="A34" t="str">
        <x:v>360521</x:v>
      </x:c>
      <x:c r="B34" t="str">
        <x:v>江西省</x:v>
      </x:c>
      <x:c r="C34" t="str">
        <x:v>新余市</x:v>
      </x:c>
      <x:c r="D34" t="str">
        <x:v>分宜县</x:v>
      </x:c>
      <x:c r="E34" t="str">
        <x:v>县</x:v>
      </x:c>
      <x:c r="F34" t="str">
        <x:v>https://www.zxinc.org/gb2260-2024.htm</x:v>
      </x:c>
      <x:c r="G34" t="str">
        <x:v>2024-12-31</x:v>
      </x:c>
      <x:c r="H34" t="str">
        <x:v>2025年末官方代码待最终逐项核对</x:v>
      </x:c>
    </x:row>
    <x:row r="35">
      <x:c r="A35" t="str">
        <x:v>360602</x:v>
      </x:c>
      <x:c r="B35" t="str">
        <x:v>江西省</x:v>
      </x:c>
      <x:c r="C35" t="str">
        <x:v>鹰潭市</x:v>
      </x:c>
      <x:c r="D35" t="str">
        <x:v>月湖区</x:v>
      </x:c>
      <x:c r="E35" t="str">
        <x:v>区</x:v>
      </x:c>
      <x:c r="F35" t="str">
        <x:v>https://www.zxinc.org/gb2260-2024.htm</x:v>
      </x:c>
      <x:c r="G35" t="str">
        <x:v>2024-12-31</x:v>
      </x:c>
      <x:c r="H35" t="str">
        <x:v>2025年末官方代码待最终逐项核对</x:v>
      </x:c>
    </x:row>
    <x:row r="36">
      <x:c r="A36" t="str">
        <x:v>360603</x:v>
      </x:c>
      <x:c r="B36" t="str">
        <x:v>江西省</x:v>
      </x:c>
      <x:c r="C36" t="str">
        <x:v>鹰潭市</x:v>
      </x:c>
      <x:c r="D36" t="str">
        <x:v>余江区</x:v>
      </x:c>
      <x:c r="E36" t="str">
        <x:v>区</x:v>
      </x:c>
      <x:c r="F36" t="str">
        <x:v>https://www.zxinc.org/gb2260-2024.htm</x:v>
      </x:c>
      <x:c r="G36" t="str">
        <x:v>2024-12-31</x:v>
      </x:c>
      <x:c r="H36" t="str">
        <x:v>2025年末官方代码待最终逐项核对</x:v>
      </x:c>
    </x:row>
    <x:row r="37">
      <x:c r="A37" t="str">
        <x:v>360681</x:v>
      </x:c>
      <x:c r="B37" t="str">
        <x:v>江西省</x:v>
      </x:c>
      <x:c r="C37" t="str">
        <x:v>鹰潭市</x:v>
      </x:c>
      <x:c r="D37" t="str">
        <x:v>贵溪市</x:v>
      </x:c>
      <x:c r="E37" t="str">
        <x:v>县级市</x:v>
      </x:c>
      <x:c r="F37" t="str">
        <x:v>https://www.zxinc.org/gb2260-2024.htm</x:v>
      </x:c>
      <x:c r="G37" t="str">
        <x:v>2024-12-31</x:v>
      </x:c>
      <x:c r="H37" t="str">
        <x:v>2025年末官方代码待最终逐项核对</x:v>
      </x:c>
    </x:row>
    <x:row r="38">
      <x:c r="A38" t="str">
        <x:v>360702</x:v>
      </x:c>
      <x:c r="B38" t="str">
        <x:v>江西省</x:v>
      </x:c>
      <x:c r="C38" t="str">
        <x:v>赣州市</x:v>
      </x:c>
      <x:c r="D38" t="str">
        <x:v>章贡区</x:v>
      </x:c>
      <x:c r="E38" t="str">
        <x:v>区</x:v>
      </x:c>
      <x:c r="F38" t="str">
        <x:v>https://www.zxinc.org/gb2260-2024.htm</x:v>
      </x:c>
      <x:c r="G38" t="str">
        <x:v>2024-12-31</x:v>
      </x:c>
      <x:c r="H38" t="str">
        <x:v>2025年末官方代码待最终逐项核对</x:v>
      </x:c>
    </x:row>
    <x:row r="39">
      <x:c r="A39" t="str">
        <x:v>360703</x:v>
      </x:c>
      <x:c r="B39" t="str">
        <x:v>江西省</x:v>
      </x:c>
      <x:c r="C39" t="str">
        <x:v>赣州市</x:v>
      </x:c>
      <x:c r="D39" t="str">
        <x:v>南康区</x:v>
      </x:c>
      <x:c r="E39" t="str">
        <x:v>区</x:v>
      </x:c>
      <x:c r="F39" t="str">
        <x:v>https://www.zxinc.org/gb2260-2024.htm</x:v>
      </x:c>
      <x:c r="G39" t="str">
        <x:v>2024-12-31</x:v>
      </x:c>
      <x:c r="H39" t="str">
        <x:v>2025年末官方代码待最终逐项核对</x:v>
      </x:c>
    </x:row>
    <x:row r="40">
      <x:c r="A40" t="str">
        <x:v>360704</x:v>
      </x:c>
      <x:c r="B40" t="str">
        <x:v>江西省</x:v>
      </x:c>
      <x:c r="C40" t="str">
        <x:v>赣州市</x:v>
      </x:c>
      <x:c r="D40" t="str">
        <x:v>赣县区</x:v>
      </x:c>
      <x:c r="E40" t="str">
        <x:v>区</x:v>
      </x:c>
      <x:c r="F40" t="str">
        <x:v>https://www.zxinc.org/gb2260-2024.htm</x:v>
      </x:c>
      <x:c r="G40" t="str">
        <x:v>2024-12-31</x:v>
      </x:c>
      <x:c r="H40" t="str">
        <x:v>2025年末官方代码待最终逐项核对</x:v>
      </x:c>
    </x:row>
    <x:row r="41">
      <x:c r="A41" t="str">
        <x:v>360781</x:v>
      </x:c>
      <x:c r="B41" t="str">
        <x:v>江西省</x:v>
      </x:c>
      <x:c r="C41" t="str">
        <x:v>赣州市</x:v>
      </x:c>
      <x:c r="D41" t="str">
        <x:v>瑞金市</x:v>
      </x:c>
      <x:c r="E41" t="str">
        <x:v>县级市</x:v>
      </x:c>
      <x:c r="F41" t="str">
        <x:v>https://www.zxinc.org/gb2260-2024.htm</x:v>
      </x:c>
      <x:c r="G41" t="str">
        <x:v>2024-12-31</x:v>
      </x:c>
      <x:c r="H41" t="str">
        <x:v>2025年末官方代码待最终逐项核对</x:v>
      </x:c>
    </x:row>
    <x:row r="42">
      <x:c r="A42" t="str">
        <x:v>360783</x:v>
      </x:c>
      <x:c r="B42" t="str">
        <x:v>江西省</x:v>
      </x:c>
      <x:c r="C42" t="str">
        <x:v>赣州市</x:v>
      </x:c>
      <x:c r="D42" t="str">
        <x:v>龙南市</x:v>
      </x:c>
      <x:c r="E42" t="str">
        <x:v>县级市</x:v>
      </x:c>
      <x:c r="F42" t="str">
        <x:v>https://www.zxinc.org/gb2260-2024.htm</x:v>
      </x:c>
      <x:c r="G42" t="str">
        <x:v>2024-12-31</x:v>
      </x:c>
      <x:c r="H42" t="str">
        <x:v>2025年末官方代码待最终逐项核对</x:v>
      </x:c>
    </x:row>
    <x:row r="43">
      <x:c r="A43" t="str">
        <x:v>360722</x:v>
      </x:c>
      <x:c r="B43" t="str">
        <x:v>江西省</x:v>
      </x:c>
      <x:c r="C43" t="str">
        <x:v>赣州市</x:v>
      </x:c>
      <x:c r="D43" t="str">
        <x:v>信丰县</x:v>
      </x:c>
      <x:c r="E43" t="str">
        <x:v>县</x:v>
      </x:c>
      <x:c r="F43" t="str">
        <x:v>https://www.zxinc.org/gb2260-2024.htm</x:v>
      </x:c>
      <x:c r="G43" t="str">
        <x:v>2024-12-31</x:v>
      </x:c>
      <x:c r="H43" t="str">
        <x:v>2025年末官方代码待最终逐项核对</x:v>
      </x:c>
    </x:row>
    <x:row r="44">
      <x:c r="A44" t="str">
        <x:v>360723</x:v>
      </x:c>
      <x:c r="B44" t="str">
        <x:v>江西省</x:v>
      </x:c>
      <x:c r="C44" t="str">
        <x:v>赣州市</x:v>
      </x:c>
      <x:c r="D44" t="str">
        <x:v>大余县</x:v>
      </x:c>
      <x:c r="E44" t="str">
        <x:v>县</x:v>
      </x:c>
      <x:c r="F44" t="str">
        <x:v>https://www.zxinc.org/gb2260-2024.htm</x:v>
      </x:c>
      <x:c r="G44" t="str">
        <x:v>2024-12-31</x:v>
      </x:c>
      <x:c r="H44" t="str">
        <x:v>2025年末官方代码待最终逐项核对</x:v>
      </x:c>
    </x:row>
    <x:row r="45">
      <x:c r="A45" t="str">
        <x:v>360724</x:v>
      </x:c>
      <x:c r="B45" t="str">
        <x:v>江西省</x:v>
      </x:c>
      <x:c r="C45" t="str">
        <x:v>赣州市</x:v>
      </x:c>
      <x:c r="D45" t="str">
        <x:v>上犹县</x:v>
      </x:c>
      <x:c r="E45" t="str">
        <x:v>县</x:v>
      </x:c>
      <x:c r="F45" t="str">
        <x:v>https://www.zxinc.org/gb2260-2024.htm</x:v>
      </x:c>
      <x:c r="G45" t="str">
        <x:v>2024-12-31</x:v>
      </x:c>
      <x:c r="H45" t="str">
        <x:v>2025年末官方代码待最终逐项核对</x:v>
      </x:c>
    </x:row>
    <x:row r="46">
      <x:c r="A46" t="str">
        <x:v>360725</x:v>
      </x:c>
      <x:c r="B46" t="str">
        <x:v>江西省</x:v>
      </x:c>
      <x:c r="C46" t="str">
        <x:v>赣州市</x:v>
      </x:c>
      <x:c r="D46" t="str">
        <x:v>崇义县</x:v>
      </x:c>
      <x:c r="E46" t="str">
        <x:v>县</x:v>
      </x:c>
      <x:c r="F46" t="str">
        <x:v>https://www.zxinc.org/gb2260-2024.htm</x:v>
      </x:c>
      <x:c r="G46" t="str">
        <x:v>2024-12-31</x:v>
      </x:c>
      <x:c r="H46" t="str">
        <x:v>2025年末官方代码待最终逐项核对</x:v>
      </x:c>
    </x:row>
    <x:row r="47">
      <x:c r="A47" t="str">
        <x:v>360726</x:v>
      </x:c>
      <x:c r="B47" t="str">
        <x:v>江西省</x:v>
      </x:c>
      <x:c r="C47" t="str">
        <x:v>赣州市</x:v>
      </x:c>
      <x:c r="D47" t="str">
        <x:v>安远县</x:v>
      </x:c>
      <x:c r="E47" t="str">
        <x:v>县</x:v>
      </x:c>
      <x:c r="F47" t="str">
        <x:v>https://www.zxinc.org/gb2260-2024.htm</x:v>
      </x:c>
      <x:c r="G47" t="str">
        <x:v>2024-12-31</x:v>
      </x:c>
      <x:c r="H47" t="str">
        <x:v>2025年末官方代码待最终逐项核对</x:v>
      </x:c>
    </x:row>
    <x:row r="48">
      <x:c r="A48" t="str">
        <x:v>360728</x:v>
      </x:c>
      <x:c r="B48" t="str">
        <x:v>江西省</x:v>
      </x:c>
      <x:c r="C48" t="str">
        <x:v>赣州市</x:v>
      </x:c>
      <x:c r="D48" t="str">
        <x:v>定南县</x:v>
      </x:c>
      <x:c r="E48" t="str">
        <x:v>县</x:v>
      </x:c>
      <x:c r="F48" t="str">
        <x:v>https://www.zxinc.org/gb2260-2024.htm</x:v>
      </x:c>
      <x:c r="G48" t="str">
        <x:v>2024-12-31</x:v>
      </x:c>
      <x:c r="H48" t="str">
        <x:v>2025年末官方代码待最终逐项核对</x:v>
      </x:c>
    </x:row>
    <x:row r="49">
      <x:c r="A49" t="str">
        <x:v>360729</x:v>
      </x:c>
      <x:c r="B49" t="str">
        <x:v>江西省</x:v>
      </x:c>
      <x:c r="C49" t="str">
        <x:v>赣州市</x:v>
      </x:c>
      <x:c r="D49" t="str">
        <x:v>全南县</x:v>
      </x:c>
      <x:c r="E49" t="str">
        <x:v>县</x:v>
      </x:c>
      <x:c r="F49" t="str">
        <x:v>https://www.zxinc.org/gb2260-2024.htm</x:v>
      </x:c>
      <x:c r="G49" t="str">
        <x:v>2024-12-31</x:v>
      </x:c>
      <x:c r="H49" t="str">
        <x:v>2025年末官方代码待最终逐项核对</x:v>
      </x:c>
    </x:row>
    <x:row r="50">
      <x:c r="A50" t="str">
        <x:v>360730</x:v>
      </x:c>
      <x:c r="B50" t="str">
        <x:v>江西省</x:v>
      </x:c>
      <x:c r="C50" t="str">
        <x:v>赣州市</x:v>
      </x:c>
      <x:c r="D50" t="str">
        <x:v>宁都县</x:v>
      </x:c>
      <x:c r="E50" t="str">
        <x:v>县</x:v>
      </x:c>
      <x:c r="F50" t="str">
        <x:v>https://www.zxinc.org/gb2260-2024.htm</x:v>
      </x:c>
      <x:c r="G50" t="str">
        <x:v>2024-12-31</x:v>
      </x:c>
      <x:c r="H50" t="str">
        <x:v>2025年末官方代码待最终逐项核对</x:v>
      </x:c>
    </x:row>
    <x:row r="51">
      <x:c r="A51" t="str">
        <x:v>360731</x:v>
      </x:c>
      <x:c r="B51" t="str">
        <x:v>江西省</x:v>
      </x:c>
      <x:c r="C51" t="str">
        <x:v>赣州市</x:v>
      </x:c>
      <x:c r="D51" t="str">
        <x:v>于都县</x:v>
      </x:c>
      <x:c r="E51" t="str">
        <x:v>县</x:v>
      </x:c>
      <x:c r="F51" t="str">
        <x:v>https://www.zxinc.org/gb2260-2024.htm</x:v>
      </x:c>
      <x:c r="G51" t="str">
        <x:v>2024-12-31</x:v>
      </x:c>
      <x:c r="H51" t="str">
        <x:v>2025年末官方代码待最终逐项核对</x:v>
      </x:c>
    </x:row>
    <x:row r="52">
      <x:c r="A52" t="str">
        <x:v>360732</x:v>
      </x:c>
      <x:c r="B52" t="str">
        <x:v>江西省</x:v>
      </x:c>
      <x:c r="C52" t="str">
        <x:v>赣州市</x:v>
      </x:c>
      <x:c r="D52" t="str">
        <x:v>兴国县</x:v>
      </x:c>
      <x:c r="E52" t="str">
        <x:v>县</x:v>
      </x:c>
      <x:c r="F52" t="str">
        <x:v>https://www.zxinc.org/gb2260-2024.htm</x:v>
      </x:c>
      <x:c r="G52" t="str">
        <x:v>2024-12-31</x:v>
      </x:c>
      <x:c r="H52" t="str">
        <x:v>2025年末官方代码待最终逐项核对</x:v>
      </x:c>
    </x:row>
    <x:row r="53">
      <x:c r="A53" t="str">
        <x:v>360733</x:v>
      </x:c>
      <x:c r="B53" t="str">
        <x:v>江西省</x:v>
      </x:c>
      <x:c r="C53" t="str">
        <x:v>赣州市</x:v>
      </x:c>
      <x:c r="D53" t="str">
        <x:v>会昌县</x:v>
      </x:c>
      <x:c r="E53" t="str">
        <x:v>县</x:v>
      </x:c>
      <x:c r="F53" t="str">
        <x:v>https://www.zxinc.org/gb2260-2024.htm</x:v>
      </x:c>
      <x:c r="G53" t="str">
        <x:v>2024-12-31</x:v>
      </x:c>
      <x:c r="H53" t="str">
        <x:v>2025年末官方代码待最终逐项核对</x:v>
      </x:c>
    </x:row>
    <x:row r="54">
      <x:c r="A54" t="str">
        <x:v>360734</x:v>
      </x:c>
      <x:c r="B54" t="str">
        <x:v>江西省</x:v>
      </x:c>
      <x:c r="C54" t="str">
        <x:v>赣州市</x:v>
      </x:c>
      <x:c r="D54" t="str">
        <x:v>寻乌县</x:v>
      </x:c>
      <x:c r="E54" t="str">
        <x:v>县</x:v>
      </x:c>
      <x:c r="F54" t="str">
        <x:v>https://www.zxinc.org/gb2260-2024.htm</x:v>
      </x:c>
      <x:c r="G54" t="str">
        <x:v>2024-12-31</x:v>
      </x:c>
      <x:c r="H54" t="str">
        <x:v>2025年末官方代码待最终逐项核对</x:v>
      </x:c>
    </x:row>
    <x:row r="55">
      <x:c r="A55" t="str">
        <x:v>360735</x:v>
      </x:c>
      <x:c r="B55" t="str">
        <x:v>江西省</x:v>
      </x:c>
      <x:c r="C55" t="str">
        <x:v>赣州市</x:v>
      </x:c>
      <x:c r="D55" t="str">
        <x:v>石城县</x:v>
      </x:c>
      <x:c r="E55" t="str">
        <x:v>县</x:v>
      </x:c>
      <x:c r="F55" t="str">
        <x:v>https://www.zxinc.org/gb2260-2024.htm</x:v>
      </x:c>
      <x:c r="G55" t="str">
        <x:v>2024-12-31</x:v>
      </x:c>
      <x:c r="H55" t="str">
        <x:v>2025年末官方代码待最终逐项核对</x:v>
      </x:c>
    </x:row>
    <x:row r="56">
      <x:c r="A56" t="str">
        <x:v>360802</x:v>
      </x:c>
      <x:c r="B56" t="str">
        <x:v>江西省</x:v>
      </x:c>
      <x:c r="C56" t="str">
        <x:v>吉安市</x:v>
      </x:c>
      <x:c r="D56" t="str">
        <x:v>吉州区</x:v>
      </x:c>
      <x:c r="E56" t="str">
        <x:v>区</x:v>
      </x:c>
      <x:c r="F56" t="str">
        <x:v>https://www.zxinc.org/gb2260-2024.htm</x:v>
      </x:c>
      <x:c r="G56" t="str">
        <x:v>2024-12-31</x:v>
      </x:c>
      <x:c r="H56" t="str">
        <x:v>2025年末官方代码待最终逐项核对</x:v>
      </x:c>
    </x:row>
    <x:row r="57">
      <x:c r="A57" t="str">
        <x:v>360803</x:v>
      </x:c>
      <x:c r="B57" t="str">
        <x:v>江西省</x:v>
      </x:c>
      <x:c r="C57" t="str">
        <x:v>吉安市</x:v>
      </x:c>
      <x:c r="D57" t="str">
        <x:v>青原区</x:v>
      </x:c>
      <x:c r="E57" t="str">
        <x:v>区</x:v>
      </x:c>
      <x:c r="F57" t="str">
        <x:v>https://www.zxinc.org/gb2260-2024.htm</x:v>
      </x:c>
      <x:c r="G57" t="str">
        <x:v>2024-12-31</x:v>
      </x:c>
      <x:c r="H57" t="str">
        <x:v>2025年末官方代码待最终逐项核对</x:v>
      </x:c>
    </x:row>
    <x:row r="58">
      <x:c r="A58" t="str">
        <x:v>360881</x:v>
      </x:c>
      <x:c r="B58" t="str">
        <x:v>江西省</x:v>
      </x:c>
      <x:c r="C58" t="str">
        <x:v>吉安市</x:v>
      </x:c>
      <x:c r="D58" t="str">
        <x:v>井冈山市</x:v>
      </x:c>
      <x:c r="E58" t="str">
        <x:v>县级市</x:v>
      </x:c>
      <x:c r="F58" t="str">
        <x:v>https://www.zxinc.org/gb2260-2024.htm</x:v>
      </x:c>
      <x:c r="G58" t="str">
        <x:v>2024-12-31</x:v>
      </x:c>
      <x:c r="H58" t="str">
        <x:v>2025年末官方代码待最终逐项核对</x:v>
      </x:c>
    </x:row>
    <x:row r="59">
      <x:c r="A59" t="str">
        <x:v>360821</x:v>
      </x:c>
      <x:c r="B59" t="str">
        <x:v>江西省</x:v>
      </x:c>
      <x:c r="C59" t="str">
        <x:v>吉安市</x:v>
      </x:c>
      <x:c r="D59" t="str">
        <x:v>吉安县</x:v>
      </x:c>
      <x:c r="E59" t="str">
        <x:v>县</x:v>
      </x:c>
      <x:c r="F59" t="str">
        <x:v>https://www.zxinc.org/gb2260-2024.htm</x:v>
      </x:c>
      <x:c r="G59" t="str">
        <x:v>2024-12-31</x:v>
      </x:c>
      <x:c r="H59" t="str">
        <x:v>2025年末官方代码待最终逐项核对</x:v>
      </x:c>
    </x:row>
    <x:row r="60">
      <x:c r="A60" t="str">
        <x:v>360822</x:v>
      </x:c>
      <x:c r="B60" t="str">
        <x:v>江西省</x:v>
      </x:c>
      <x:c r="C60" t="str">
        <x:v>吉安市</x:v>
      </x:c>
      <x:c r="D60" t="str">
        <x:v>吉水县</x:v>
      </x:c>
      <x:c r="E60" t="str">
        <x:v>县</x:v>
      </x:c>
      <x:c r="F60" t="str">
        <x:v>https://www.zxinc.org/gb2260-2024.htm</x:v>
      </x:c>
      <x:c r="G60" t="str">
        <x:v>2024-12-31</x:v>
      </x:c>
      <x:c r="H60" t="str">
        <x:v>2025年末官方代码待最终逐项核对</x:v>
      </x:c>
    </x:row>
    <x:row r="61">
      <x:c r="A61" t="str">
        <x:v>360823</x:v>
      </x:c>
      <x:c r="B61" t="str">
        <x:v>江西省</x:v>
      </x:c>
      <x:c r="C61" t="str">
        <x:v>吉安市</x:v>
      </x:c>
      <x:c r="D61" t="str">
        <x:v>峡江县</x:v>
      </x:c>
      <x:c r="E61" t="str">
        <x:v>县</x:v>
      </x:c>
      <x:c r="F61" t="str">
        <x:v>https://www.zxinc.org/gb2260-2024.htm</x:v>
      </x:c>
      <x:c r="G61" t="str">
        <x:v>2024-12-31</x:v>
      </x:c>
      <x:c r="H61" t="str">
        <x:v>2025年末官方代码待最终逐项核对</x:v>
      </x:c>
    </x:row>
    <x:row r="62">
      <x:c r="A62" t="str">
        <x:v>360824</x:v>
      </x:c>
      <x:c r="B62" t="str">
        <x:v>江西省</x:v>
      </x:c>
      <x:c r="C62" t="str">
        <x:v>吉安市</x:v>
      </x:c>
      <x:c r="D62" t="str">
        <x:v>新干县</x:v>
      </x:c>
      <x:c r="E62" t="str">
        <x:v>县</x:v>
      </x:c>
      <x:c r="F62" t="str">
        <x:v>https://www.zxinc.org/gb2260-2024.htm</x:v>
      </x:c>
      <x:c r="G62" t="str">
        <x:v>2024-12-31</x:v>
      </x:c>
      <x:c r="H62" t="str">
        <x:v>2025年末官方代码待最终逐项核对</x:v>
      </x:c>
    </x:row>
    <x:row r="63">
      <x:c r="A63" t="str">
        <x:v>360825</x:v>
      </x:c>
      <x:c r="B63" t="str">
        <x:v>江西省</x:v>
      </x:c>
      <x:c r="C63" t="str">
        <x:v>吉安市</x:v>
      </x:c>
      <x:c r="D63" t="str">
        <x:v>永丰县</x:v>
      </x:c>
      <x:c r="E63" t="str">
        <x:v>县</x:v>
      </x:c>
      <x:c r="F63" t="str">
        <x:v>https://www.zxinc.org/gb2260-2024.htm</x:v>
      </x:c>
      <x:c r="G63" t="str">
        <x:v>2024-12-31</x:v>
      </x:c>
      <x:c r="H63" t="str">
        <x:v>2025年末官方代码待最终逐项核对</x:v>
      </x:c>
    </x:row>
    <x:row r="64">
      <x:c r="A64" t="str">
        <x:v>360826</x:v>
      </x:c>
      <x:c r="B64" t="str">
        <x:v>江西省</x:v>
      </x:c>
      <x:c r="C64" t="str">
        <x:v>吉安市</x:v>
      </x:c>
      <x:c r="D64" t="str">
        <x:v>泰和县</x:v>
      </x:c>
      <x:c r="E64" t="str">
        <x:v>县</x:v>
      </x:c>
      <x:c r="F64" t="str">
        <x:v>https://www.zxinc.org/gb2260-2024.htm</x:v>
      </x:c>
      <x:c r="G64" t="str">
        <x:v>2024-12-31</x:v>
      </x:c>
      <x:c r="H64" t="str">
        <x:v>2025年末官方代码待最终逐项核对</x:v>
      </x:c>
    </x:row>
    <x:row r="65">
      <x:c r="A65" t="str">
        <x:v>360827</x:v>
      </x:c>
      <x:c r="B65" t="str">
        <x:v>江西省</x:v>
      </x:c>
      <x:c r="C65" t="str">
        <x:v>吉安市</x:v>
      </x:c>
      <x:c r="D65" t="str">
        <x:v>遂川县</x:v>
      </x:c>
      <x:c r="E65" t="str">
        <x:v>县</x:v>
      </x:c>
      <x:c r="F65" t="str">
        <x:v>https://www.zxinc.org/gb2260-2024.htm</x:v>
      </x:c>
      <x:c r="G65" t="str">
        <x:v>2024-12-31</x:v>
      </x:c>
      <x:c r="H65" t="str">
        <x:v>2025年末官方代码待最终逐项核对</x:v>
      </x:c>
    </x:row>
    <x:row r="66">
      <x:c r="A66" t="str">
        <x:v>360828</x:v>
      </x:c>
      <x:c r="B66" t="str">
        <x:v>江西省</x:v>
      </x:c>
      <x:c r="C66" t="str">
        <x:v>吉安市</x:v>
      </x:c>
      <x:c r="D66" t="str">
        <x:v>万安县</x:v>
      </x:c>
      <x:c r="E66" t="str">
        <x:v>县</x:v>
      </x:c>
      <x:c r="F66" t="str">
        <x:v>https://www.zxinc.org/gb2260-2024.htm</x:v>
      </x:c>
      <x:c r="G66" t="str">
        <x:v>2024-12-31</x:v>
      </x:c>
      <x:c r="H66" t="str">
        <x:v>2025年末官方代码待最终逐项核对</x:v>
      </x:c>
    </x:row>
    <x:row r="67">
      <x:c r="A67" t="str">
        <x:v>360829</x:v>
      </x:c>
      <x:c r="B67" t="str">
        <x:v>江西省</x:v>
      </x:c>
      <x:c r="C67" t="str">
        <x:v>吉安市</x:v>
      </x:c>
      <x:c r="D67" t="str">
        <x:v>安福县</x:v>
      </x:c>
      <x:c r="E67" t="str">
        <x:v>县</x:v>
      </x:c>
      <x:c r="F67" t="str">
        <x:v>https://www.zxinc.org/gb2260-2024.htm</x:v>
      </x:c>
      <x:c r="G67" t="str">
        <x:v>2024-12-31</x:v>
      </x:c>
      <x:c r="H67" t="str">
        <x:v>2025年末官方代码待最终逐项核对</x:v>
      </x:c>
    </x:row>
    <x:row r="68">
      <x:c r="A68" t="str">
        <x:v>360830</x:v>
      </x:c>
      <x:c r="B68" t="str">
        <x:v>江西省</x:v>
      </x:c>
      <x:c r="C68" t="str">
        <x:v>吉安市</x:v>
      </x:c>
      <x:c r="D68" t="str">
        <x:v>永新县</x:v>
      </x:c>
      <x:c r="E68" t="str">
        <x:v>县</x:v>
      </x:c>
      <x:c r="F68" t="str">
        <x:v>https://www.zxinc.org/gb2260-2024.htm</x:v>
      </x:c>
      <x:c r="G68" t="str">
        <x:v>2024-12-31</x:v>
      </x:c>
      <x:c r="H68" t="str">
        <x:v>2025年末官方代码待最终逐项核对</x:v>
      </x:c>
    </x:row>
    <x:row r="69">
      <x:c r="A69" t="str">
        <x:v>360902</x:v>
      </x:c>
      <x:c r="B69" t="str">
        <x:v>江西省</x:v>
      </x:c>
      <x:c r="C69" t="str">
        <x:v>宜春市</x:v>
      </x:c>
      <x:c r="D69" t="str">
        <x:v>袁州区</x:v>
      </x:c>
      <x:c r="E69" t="str">
        <x:v>区</x:v>
      </x:c>
      <x:c r="F69" t="str">
        <x:v>https://www.zxinc.org/gb2260-2024.htm</x:v>
      </x:c>
      <x:c r="G69" t="str">
        <x:v>2024-12-31</x:v>
      </x:c>
      <x:c r="H69" t="str">
        <x:v>2025年末官方代码待最终逐项核对</x:v>
      </x:c>
    </x:row>
    <x:row r="70">
      <x:c r="A70" t="str">
        <x:v>360981</x:v>
      </x:c>
      <x:c r="B70" t="str">
        <x:v>江西省</x:v>
      </x:c>
      <x:c r="C70" t="str">
        <x:v>宜春市</x:v>
      </x:c>
      <x:c r="D70" t="str">
        <x:v>丰城市</x:v>
      </x:c>
      <x:c r="E70" t="str">
        <x:v>县级市</x:v>
      </x:c>
      <x:c r="F70" t="str">
        <x:v>https://www.zxinc.org/gb2260-2024.htm</x:v>
      </x:c>
      <x:c r="G70" t="str">
        <x:v>2024-12-31</x:v>
      </x:c>
      <x:c r="H70" t="str">
        <x:v>2025年末官方代码待最终逐项核对</x:v>
      </x:c>
    </x:row>
    <x:row r="71">
      <x:c r="A71" t="str">
        <x:v>360982</x:v>
      </x:c>
      <x:c r="B71" t="str">
        <x:v>江西省</x:v>
      </x:c>
      <x:c r="C71" t="str">
        <x:v>宜春市</x:v>
      </x:c>
      <x:c r="D71" t="str">
        <x:v>樟树市</x:v>
      </x:c>
      <x:c r="E71" t="str">
        <x:v>县级市</x:v>
      </x:c>
      <x:c r="F71" t="str">
        <x:v>https://www.zxinc.org/gb2260-2024.htm</x:v>
      </x:c>
      <x:c r="G71" t="str">
        <x:v>2024-12-31</x:v>
      </x:c>
      <x:c r="H71" t="str">
        <x:v>2025年末官方代码待最终逐项核对</x:v>
      </x:c>
    </x:row>
    <x:row r="72">
      <x:c r="A72" t="str">
        <x:v>360983</x:v>
      </x:c>
      <x:c r="B72" t="str">
        <x:v>江西省</x:v>
      </x:c>
      <x:c r="C72" t="str">
        <x:v>宜春市</x:v>
      </x:c>
      <x:c r="D72" t="str">
        <x:v>高安市</x:v>
      </x:c>
      <x:c r="E72" t="str">
        <x:v>县级市</x:v>
      </x:c>
      <x:c r="F72" t="str">
        <x:v>https://www.zxinc.org/gb2260-2024.htm</x:v>
      </x:c>
      <x:c r="G72" t="str">
        <x:v>2024-12-31</x:v>
      </x:c>
      <x:c r="H72" t="str">
        <x:v>2025年末官方代码待最终逐项核对</x:v>
      </x:c>
    </x:row>
    <x:row r="73">
      <x:c r="A73" t="str">
        <x:v>360921</x:v>
      </x:c>
      <x:c r="B73" t="str">
        <x:v>江西省</x:v>
      </x:c>
      <x:c r="C73" t="str">
        <x:v>宜春市</x:v>
      </x:c>
      <x:c r="D73" t="str">
        <x:v>奉新县</x:v>
      </x:c>
      <x:c r="E73" t="str">
        <x:v>县</x:v>
      </x:c>
      <x:c r="F73" t="str">
        <x:v>https://www.zxinc.org/gb2260-2024.htm</x:v>
      </x:c>
      <x:c r="G73" t="str">
        <x:v>2024-12-31</x:v>
      </x:c>
      <x:c r="H73" t="str">
        <x:v>2025年末官方代码待最终逐项核对</x:v>
      </x:c>
    </x:row>
    <x:row r="74">
      <x:c r="A74" t="str">
        <x:v>360922</x:v>
      </x:c>
      <x:c r="B74" t="str">
        <x:v>江西省</x:v>
      </x:c>
      <x:c r="C74" t="str">
        <x:v>宜春市</x:v>
      </x:c>
      <x:c r="D74" t="str">
        <x:v>万载县</x:v>
      </x:c>
      <x:c r="E74" t="str">
        <x:v>县</x:v>
      </x:c>
      <x:c r="F74" t="str">
        <x:v>https://www.zxinc.org/gb2260-2024.htm</x:v>
      </x:c>
      <x:c r="G74" t="str">
        <x:v>2024-12-31</x:v>
      </x:c>
      <x:c r="H74" t="str">
        <x:v>2025年末官方代码待最终逐项核对</x:v>
      </x:c>
    </x:row>
    <x:row r="75">
      <x:c r="A75" t="str">
        <x:v>360923</x:v>
      </x:c>
      <x:c r="B75" t="str">
        <x:v>江西省</x:v>
      </x:c>
      <x:c r="C75" t="str">
        <x:v>宜春市</x:v>
      </x:c>
      <x:c r="D75" t="str">
        <x:v>上高县</x:v>
      </x:c>
      <x:c r="E75" t="str">
        <x:v>县</x:v>
      </x:c>
      <x:c r="F75" t="str">
        <x:v>https://www.zxinc.org/gb2260-2024.htm</x:v>
      </x:c>
      <x:c r="G75" t="str">
        <x:v>2024-12-31</x:v>
      </x:c>
      <x:c r="H75" t="str">
        <x:v>2025年末官方代码待最终逐项核对</x:v>
      </x:c>
    </x:row>
    <x:row r="76">
      <x:c r="A76" t="str">
        <x:v>360924</x:v>
      </x:c>
      <x:c r="B76" t="str">
        <x:v>江西省</x:v>
      </x:c>
      <x:c r="C76" t="str">
        <x:v>宜春市</x:v>
      </x:c>
      <x:c r="D76" t="str">
        <x:v>宜丰县</x:v>
      </x:c>
      <x:c r="E76" t="str">
        <x:v>县</x:v>
      </x:c>
      <x:c r="F76" t="str">
        <x:v>https://www.zxinc.org/gb2260-2024.htm</x:v>
      </x:c>
      <x:c r="G76" t="str">
        <x:v>2024-12-31</x:v>
      </x:c>
      <x:c r="H76" t="str">
        <x:v>2025年末官方代码待最终逐项核对</x:v>
      </x:c>
    </x:row>
    <x:row r="77">
      <x:c r="A77" t="str">
        <x:v>360925</x:v>
      </x:c>
      <x:c r="B77" t="str">
        <x:v>江西省</x:v>
      </x:c>
      <x:c r="C77" t="str">
        <x:v>宜春市</x:v>
      </x:c>
      <x:c r="D77" t="str">
        <x:v>靖安县</x:v>
      </x:c>
      <x:c r="E77" t="str">
        <x:v>县</x:v>
      </x:c>
      <x:c r="F77" t="str">
        <x:v>https://www.zxinc.org/gb2260-2024.htm</x:v>
      </x:c>
      <x:c r="G77" t="str">
        <x:v>2024-12-31</x:v>
      </x:c>
      <x:c r="H77" t="str">
        <x:v>2025年末官方代码待最终逐项核对</x:v>
      </x:c>
    </x:row>
    <x:row r="78">
      <x:c r="A78" t="str">
        <x:v>360926</x:v>
      </x:c>
      <x:c r="B78" t="str">
        <x:v>江西省</x:v>
      </x:c>
      <x:c r="C78" t="str">
        <x:v>宜春市</x:v>
      </x:c>
      <x:c r="D78" t="str">
        <x:v>铜鼓县</x:v>
      </x:c>
      <x:c r="E78" t="str">
        <x:v>县</x:v>
      </x:c>
      <x:c r="F78" t="str">
        <x:v>https://www.zxinc.org/gb2260-2024.htm</x:v>
      </x:c>
      <x:c r="G78" t="str">
        <x:v>2024-12-31</x:v>
      </x:c>
      <x:c r="H78" t="str">
        <x:v>2025年末官方代码待最终逐项核对</x:v>
      </x:c>
    </x:row>
    <x:row r="79">
      <x:c r="A79" t="str">
        <x:v>361002</x:v>
      </x:c>
      <x:c r="B79" t="str">
        <x:v>江西省</x:v>
      </x:c>
      <x:c r="C79" t="str">
        <x:v>抚州市</x:v>
      </x:c>
      <x:c r="D79" t="str">
        <x:v>临川区</x:v>
      </x:c>
      <x:c r="E79" t="str">
        <x:v>区</x:v>
      </x:c>
      <x:c r="F79" t="str">
        <x:v>https://www.zxinc.org/gb2260-2024.htm</x:v>
      </x:c>
      <x:c r="G79" t="str">
        <x:v>2024-12-31</x:v>
      </x:c>
      <x:c r="H79" t="str">
        <x:v>2025年末官方代码待最终逐项核对</x:v>
      </x:c>
    </x:row>
    <x:row r="80">
      <x:c r="A80" t="str">
        <x:v>361003</x:v>
      </x:c>
      <x:c r="B80" t="str">
        <x:v>江西省</x:v>
      </x:c>
      <x:c r="C80" t="str">
        <x:v>抚州市</x:v>
      </x:c>
      <x:c r="D80" t="str">
        <x:v>东乡区</x:v>
      </x:c>
      <x:c r="E80" t="str">
        <x:v>区</x:v>
      </x:c>
      <x:c r="F80" t="str">
        <x:v>https://www.zxinc.org/gb2260-2024.htm</x:v>
      </x:c>
      <x:c r="G80" t="str">
        <x:v>2024-12-31</x:v>
      </x:c>
      <x:c r="H80" t="str">
        <x:v>2025年末官方代码待最终逐项核对</x:v>
      </x:c>
    </x:row>
    <x:row r="81">
      <x:c r="A81" t="str">
        <x:v>361021</x:v>
      </x:c>
      <x:c r="B81" t="str">
        <x:v>江西省</x:v>
      </x:c>
      <x:c r="C81" t="str">
        <x:v>抚州市</x:v>
      </x:c>
      <x:c r="D81" t="str">
        <x:v>南城县</x:v>
      </x:c>
      <x:c r="E81" t="str">
        <x:v>县</x:v>
      </x:c>
      <x:c r="F81" t="str">
        <x:v>https://www.zxinc.org/gb2260-2024.htm</x:v>
      </x:c>
      <x:c r="G81" t="str">
        <x:v>2024-12-31</x:v>
      </x:c>
      <x:c r="H81" t="str">
        <x:v>2025年末官方代码待最终逐项核对</x:v>
      </x:c>
    </x:row>
    <x:row r="82">
      <x:c r="A82" t="str">
        <x:v>361022</x:v>
      </x:c>
      <x:c r="B82" t="str">
        <x:v>江西省</x:v>
      </x:c>
      <x:c r="C82" t="str">
        <x:v>抚州市</x:v>
      </x:c>
      <x:c r="D82" t="str">
        <x:v>黎川县</x:v>
      </x:c>
      <x:c r="E82" t="str">
        <x:v>县</x:v>
      </x:c>
      <x:c r="F82" t="str">
        <x:v>https://www.zxinc.org/gb2260-2024.htm</x:v>
      </x:c>
      <x:c r="G82" t="str">
        <x:v>2024-12-31</x:v>
      </x:c>
      <x:c r="H82" t="str">
        <x:v>2025年末官方代码待最终逐项核对</x:v>
      </x:c>
    </x:row>
    <x:row r="83">
      <x:c r="A83" t="str">
        <x:v>361023</x:v>
      </x:c>
      <x:c r="B83" t="str">
        <x:v>江西省</x:v>
      </x:c>
      <x:c r="C83" t="str">
        <x:v>抚州市</x:v>
      </x:c>
      <x:c r="D83" t="str">
        <x:v>南丰县</x:v>
      </x:c>
      <x:c r="E83" t="str">
        <x:v>县</x:v>
      </x:c>
      <x:c r="F83" t="str">
        <x:v>https://www.zxinc.org/gb2260-2024.htm</x:v>
      </x:c>
      <x:c r="G83" t="str">
        <x:v>2024-12-31</x:v>
      </x:c>
      <x:c r="H83" t="str">
        <x:v>2025年末官方代码待最终逐项核对</x:v>
      </x:c>
    </x:row>
    <x:row r="84">
      <x:c r="A84" t="str">
        <x:v>361024</x:v>
      </x:c>
      <x:c r="B84" t="str">
        <x:v>江西省</x:v>
      </x:c>
      <x:c r="C84" t="str">
        <x:v>抚州市</x:v>
      </x:c>
      <x:c r="D84" t="str">
        <x:v>崇仁县</x:v>
      </x:c>
      <x:c r="E84" t="str">
        <x:v>县</x:v>
      </x:c>
      <x:c r="F84" t="str">
        <x:v>https://www.zxinc.org/gb2260-2024.htm</x:v>
      </x:c>
      <x:c r="G84" t="str">
        <x:v>2024-12-31</x:v>
      </x:c>
      <x:c r="H84" t="str">
        <x:v>2025年末官方代码待最终逐项核对</x:v>
      </x:c>
    </x:row>
    <x:row r="85">
      <x:c r="A85" t="str">
        <x:v>361025</x:v>
      </x:c>
      <x:c r="B85" t="str">
        <x:v>江西省</x:v>
      </x:c>
      <x:c r="C85" t="str">
        <x:v>抚州市</x:v>
      </x:c>
      <x:c r="D85" t="str">
        <x:v>乐安县</x:v>
      </x:c>
      <x:c r="E85" t="str">
        <x:v>县</x:v>
      </x:c>
      <x:c r="F85" t="str">
        <x:v>https://www.zxinc.org/gb2260-2024.htm</x:v>
      </x:c>
      <x:c r="G85" t="str">
        <x:v>2024-12-31</x:v>
      </x:c>
      <x:c r="H85" t="str">
        <x:v>2025年末官方代码待最终逐项核对</x:v>
      </x:c>
    </x:row>
    <x:row r="86">
      <x:c r="A86" t="str">
        <x:v>361026</x:v>
      </x:c>
      <x:c r="B86" t="str">
        <x:v>江西省</x:v>
      </x:c>
      <x:c r="C86" t="str">
        <x:v>抚州市</x:v>
      </x:c>
      <x:c r="D86" t="str">
        <x:v>宜黄县</x:v>
      </x:c>
      <x:c r="E86" t="str">
        <x:v>县</x:v>
      </x:c>
      <x:c r="F86" t="str">
        <x:v>https://www.zxinc.org/gb2260-2024.htm</x:v>
      </x:c>
      <x:c r="G86" t="str">
        <x:v>2024-12-31</x:v>
      </x:c>
      <x:c r="H86" t="str">
        <x:v>2025年末官方代码待最终逐项核对</x:v>
      </x:c>
    </x:row>
    <x:row r="87">
      <x:c r="A87" t="str">
        <x:v>361027</x:v>
      </x:c>
      <x:c r="B87" t="str">
        <x:v>江西省</x:v>
      </x:c>
      <x:c r="C87" t="str">
        <x:v>抚州市</x:v>
      </x:c>
      <x:c r="D87" t="str">
        <x:v>金溪县</x:v>
      </x:c>
      <x:c r="E87" t="str">
        <x:v>县</x:v>
      </x:c>
      <x:c r="F87" t="str">
        <x:v>https://www.zxinc.org/gb2260-2024.htm</x:v>
      </x:c>
      <x:c r="G87" t="str">
        <x:v>2024-12-31</x:v>
      </x:c>
      <x:c r="H87" t="str">
        <x:v>2025年末官方代码待最终逐项核对</x:v>
      </x:c>
    </x:row>
    <x:row r="88">
      <x:c r="A88" t="str">
        <x:v>361028</x:v>
      </x:c>
      <x:c r="B88" t="str">
        <x:v>江西省</x:v>
      </x:c>
      <x:c r="C88" t="str">
        <x:v>抚州市</x:v>
      </x:c>
      <x:c r="D88" t="str">
        <x:v>资溪县</x:v>
      </x:c>
      <x:c r="E88" t="str">
        <x:v>县</x:v>
      </x:c>
      <x:c r="F88" t="str">
        <x:v>https://www.zxinc.org/gb2260-2024.htm</x:v>
      </x:c>
      <x:c r="G88" t="str">
        <x:v>2024-12-31</x:v>
      </x:c>
      <x:c r="H88" t="str">
        <x:v>2025年末官方代码待最终逐项核对</x:v>
      </x:c>
    </x:row>
    <x:row r="89">
      <x:c r="A89" t="str">
        <x:v>361030</x:v>
      </x:c>
      <x:c r="B89" t="str">
        <x:v>江西省</x:v>
      </x:c>
      <x:c r="C89" t="str">
        <x:v>抚州市</x:v>
      </x:c>
      <x:c r="D89" t="str">
        <x:v>广昌县</x:v>
      </x:c>
      <x:c r="E89" t="str">
        <x:v>县</x:v>
      </x:c>
      <x:c r="F89" t="str">
        <x:v>https://www.zxinc.org/gb2260-2024.htm</x:v>
      </x:c>
      <x:c r="G89" t="str">
        <x:v>2024-12-31</x:v>
      </x:c>
      <x:c r="H89" t="str">
        <x:v>2025年末官方代码待最终逐项核对</x:v>
      </x:c>
    </x:row>
    <x:row r="90">
      <x:c r="A90" t="str">
        <x:v>361102</x:v>
      </x:c>
      <x:c r="B90" t="str">
        <x:v>江西省</x:v>
      </x:c>
      <x:c r="C90" t="str">
        <x:v>上饶市</x:v>
      </x:c>
      <x:c r="D90" t="str">
        <x:v>信州区</x:v>
      </x:c>
      <x:c r="E90" t="str">
        <x:v>区</x:v>
      </x:c>
      <x:c r="F90" t="str">
        <x:v>https://www.zxinc.org/gb2260-2024.htm</x:v>
      </x:c>
      <x:c r="G90" t="str">
        <x:v>2024-12-31</x:v>
      </x:c>
      <x:c r="H90" t="str">
        <x:v>2025年末官方代码待最终逐项核对</x:v>
      </x:c>
    </x:row>
    <x:row r="91">
      <x:c r="A91" t="str">
        <x:v>361103</x:v>
      </x:c>
      <x:c r="B91" t="str">
        <x:v>江西省</x:v>
      </x:c>
      <x:c r="C91" t="str">
        <x:v>上饶市</x:v>
      </x:c>
      <x:c r="D91" t="str">
        <x:v>广丰区</x:v>
      </x:c>
      <x:c r="E91" t="str">
        <x:v>区</x:v>
      </x:c>
      <x:c r="F91" t="str">
        <x:v>https://www.zxinc.org/gb2260-2024.htm</x:v>
      </x:c>
      <x:c r="G91" t="str">
        <x:v>2024-12-31</x:v>
      </x:c>
      <x:c r="H91" t="str">
        <x:v>2025年末官方代码待最终逐项核对</x:v>
      </x:c>
    </x:row>
    <x:row r="92">
      <x:c r="A92" t="str">
        <x:v>361104</x:v>
      </x:c>
      <x:c r="B92" t="str">
        <x:v>江西省</x:v>
      </x:c>
      <x:c r="C92" t="str">
        <x:v>上饶市</x:v>
      </x:c>
      <x:c r="D92" t="str">
        <x:v>广信区</x:v>
      </x:c>
      <x:c r="E92" t="str">
        <x:v>区</x:v>
      </x:c>
      <x:c r="F92" t="str">
        <x:v>https://www.zxinc.org/gb2260-2024.htm</x:v>
      </x:c>
      <x:c r="G92" t="str">
        <x:v>2024-12-31</x:v>
      </x:c>
      <x:c r="H92" t="str">
        <x:v>2025年末官方代码待最终逐项核对</x:v>
      </x:c>
    </x:row>
    <x:row r="93">
      <x:c r="A93" t="str">
        <x:v>361181</x:v>
      </x:c>
      <x:c r="B93" t="str">
        <x:v>江西省</x:v>
      </x:c>
      <x:c r="C93" t="str">
        <x:v>上饶市</x:v>
      </x:c>
      <x:c r="D93" t="str">
        <x:v>德兴市</x:v>
      </x:c>
      <x:c r="E93" t="str">
        <x:v>县级市</x:v>
      </x:c>
      <x:c r="F93" t="str">
        <x:v>https://www.zxinc.org/gb2260-2024.htm</x:v>
      </x:c>
      <x:c r="G93" t="str">
        <x:v>2024-12-31</x:v>
      </x:c>
      <x:c r="H93" t="str">
        <x:v>2025年末官方代码待最终逐项核对</x:v>
      </x:c>
    </x:row>
    <x:row r="94">
      <x:c r="A94" t="str">
        <x:v>361123</x:v>
      </x:c>
      <x:c r="B94" t="str">
        <x:v>江西省</x:v>
      </x:c>
      <x:c r="C94" t="str">
        <x:v>上饶市</x:v>
      </x:c>
      <x:c r="D94" t="str">
        <x:v>玉山县</x:v>
      </x:c>
      <x:c r="E94" t="str">
        <x:v>县</x:v>
      </x:c>
      <x:c r="F94" t="str">
        <x:v>https://www.zxinc.org/gb2260-2024.htm</x:v>
      </x:c>
      <x:c r="G94" t="str">
        <x:v>2024-12-31</x:v>
      </x:c>
      <x:c r="H94" t="str">
        <x:v>2025年末官方代码待最终逐项核对</x:v>
      </x:c>
    </x:row>
    <x:row r="95">
      <x:c r="A95" t="str">
        <x:v>361124</x:v>
      </x:c>
      <x:c r="B95" t="str">
        <x:v>江西省</x:v>
      </x:c>
      <x:c r="C95" t="str">
        <x:v>上饶市</x:v>
      </x:c>
      <x:c r="D95" t="str">
        <x:v>铅山县</x:v>
      </x:c>
      <x:c r="E95" t="str">
        <x:v>县</x:v>
      </x:c>
      <x:c r="F95" t="str">
        <x:v>https://www.zxinc.org/gb2260-2024.htm</x:v>
      </x:c>
      <x:c r="G95" t="str">
        <x:v>2024-12-31</x:v>
      </x:c>
      <x:c r="H95" t="str">
        <x:v>2025年末官方代码待最终逐项核对</x:v>
      </x:c>
    </x:row>
    <x:row r="96">
      <x:c r="A96" t="str">
        <x:v>361125</x:v>
      </x:c>
      <x:c r="B96" t="str">
        <x:v>江西省</x:v>
      </x:c>
      <x:c r="C96" t="str">
        <x:v>上饶市</x:v>
      </x:c>
      <x:c r="D96" t="str">
        <x:v>横峰县</x:v>
      </x:c>
      <x:c r="E96" t="str">
        <x:v>县</x:v>
      </x:c>
      <x:c r="F96" t="str">
        <x:v>https://www.zxinc.org/gb2260-2024.htm</x:v>
      </x:c>
      <x:c r="G96" t="str">
        <x:v>2024-12-31</x:v>
      </x:c>
      <x:c r="H96" t="str">
        <x:v>2025年末官方代码待最终逐项核对</x:v>
      </x:c>
    </x:row>
    <x:row r="97">
      <x:c r="A97" t="str">
        <x:v>361126</x:v>
      </x:c>
      <x:c r="B97" t="str">
        <x:v>江西省</x:v>
      </x:c>
      <x:c r="C97" t="str">
        <x:v>上饶市</x:v>
      </x:c>
      <x:c r="D97" t="str">
        <x:v>弋阳县</x:v>
      </x:c>
      <x:c r="E97" t="str">
        <x:v>县</x:v>
      </x:c>
      <x:c r="F97" t="str">
        <x:v>https://www.zxinc.org/gb2260-2024.htm</x:v>
      </x:c>
      <x:c r="G97" t="str">
        <x:v>2024-12-31</x:v>
      </x:c>
      <x:c r="H97" t="str">
        <x:v>2025年末官方代码待最终逐项核对</x:v>
      </x:c>
    </x:row>
    <x:row r="98">
      <x:c r="A98" t="str">
        <x:v>361127</x:v>
      </x:c>
      <x:c r="B98" t="str">
        <x:v>江西省</x:v>
      </x:c>
      <x:c r="C98" t="str">
        <x:v>上饶市</x:v>
      </x:c>
      <x:c r="D98" t="str">
        <x:v>余干县</x:v>
      </x:c>
      <x:c r="E98" t="str">
        <x:v>县</x:v>
      </x:c>
      <x:c r="F98" t="str">
        <x:v>https://www.zxinc.org/gb2260-2024.htm</x:v>
      </x:c>
      <x:c r="G98" t="str">
        <x:v>2024-12-31</x:v>
      </x:c>
      <x:c r="H98" t="str">
        <x:v>2025年末官方代码待最终逐项核对</x:v>
      </x:c>
    </x:row>
    <x:row r="99">
      <x:c r="A99" t="str">
        <x:v>361128</x:v>
      </x:c>
      <x:c r="B99" t="str">
        <x:v>江西省</x:v>
      </x:c>
      <x:c r="C99" t="str">
        <x:v>上饶市</x:v>
      </x:c>
      <x:c r="D99" t="str">
        <x:v>鄱阳县</x:v>
      </x:c>
      <x:c r="E99" t="str">
        <x:v>县</x:v>
      </x:c>
      <x:c r="F99" t="str">
        <x:v>https://www.zxinc.org/gb2260-2024.htm</x:v>
      </x:c>
      <x:c r="G99" t="str">
        <x:v>2024-12-31</x:v>
      </x:c>
      <x:c r="H99" t="str">
        <x:v>2025年末官方代码待最终逐项核对</x:v>
      </x:c>
    </x:row>
    <x:row r="100">
      <x:c r="A100" t="str">
        <x:v>361129</x:v>
      </x:c>
      <x:c r="B100" t="str">
        <x:v>江西省</x:v>
      </x:c>
      <x:c r="C100" t="str">
        <x:v>上饶市</x:v>
      </x:c>
      <x:c r="D100" t="str">
        <x:v>万年县</x:v>
      </x:c>
      <x:c r="E100" t="str">
        <x:v>县</x:v>
      </x:c>
      <x:c r="F100" t="str">
        <x:v>https://www.zxinc.org/gb2260-2024.htm</x:v>
      </x:c>
      <x:c r="G100" t="str">
        <x:v>2024-12-31</x:v>
      </x:c>
      <x:c r="H100" t="str">
        <x:v>2025年末官方代码待最终逐项核对</x:v>
      </x:c>
    </x:row>
    <x:row r="101">
      <x:c r="A101" t="str">
        <x:v>361130</x:v>
      </x:c>
      <x:c r="B101" t="str">
        <x:v>江西省</x:v>
      </x:c>
      <x:c r="C101" t="str">
        <x:v>上饶市</x:v>
      </x:c>
      <x:c r="D101" t="str">
        <x:v>婺源县</x:v>
      </x:c>
      <x:c r="E101" t="str">
        <x:v>县</x:v>
      </x:c>
      <x:c r="F101" t="str">
        <x:v>https://www.zxinc.org/gb2260-2024.htm</x:v>
      </x:c>
      <x:c r="G101" t="str">
        <x:v>2024-12-31</x:v>
      </x:c>
      <x:c r="H101" t="str">
        <x:v>2025年末官方代码待最终逐项核对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0" hidden="0" customWidth="1"/>
    <x:col min="4" max="4" width="11" hidden="0" customWidth="1"/>
    <x:col min="5" max="5" width="38" hidden="0" customWidth="1"/>
    <x:col min="6" max="6" width="18" hidden="0" customWidth="1"/>
    <x:col min="7" max="7" width="12" hidden="0" customWidth="1"/>
    <x:col min="8" max="8" width="20" hidden="0" customWidth="1"/>
    <x:col min="9" max="9" width="13" hidden="0" customWidth="1"/>
    <x:col min="10" max="10" width="26" hidden="0" customWidth="1"/>
    <x:col min="11" max="11" width="35" hidden="0" customWidth="1"/>
    <x:col min="12" max="12" width="12" hidden="0" customWidth="1"/>
    <x:col min="13" max="13" width="58" hidden="0" customWidth="1"/>
  </x:cols>
  <x:sheetData>
    <x:row r="1" ht="29" customHeight="1">
      <x:c r="A1" s="89" t="str">
        <x:v>行政代码</x:v>
      </x:c>
      <x:c r="B1" s="89" t="str">
        <x:v>地域</x:v>
      </x:c>
      <x:c r="C1" s="89" t="str">
        <x:v>层级</x:v>
      </x:c>
      <x:c r="D1" s="89" t="str">
        <x:v>年份</x:v>
      </x:c>
      <x:c r="E1" s="89" t="str">
        <x:v>指标ID</x:v>
      </x:c>
      <x:c r="F1" s="89" t="str">
        <x:v>原始值</x:v>
      </x:c>
      <x:c r="G1" s="89" t="str">
        <x:v>单位</x:v>
      </x:c>
      <x:c r="H1" s="89" t="str">
        <x:v>群体范围</x:v>
      </x:c>
      <x:c r="I1" s="89" t="str">
        <x:v>来源ID</x:v>
      </x:c>
      <x:c r="J1" s="89" t="str">
        <x:v>核验状态</x:v>
      </x:c>
      <x:c r="K1" s="89" t="str">
        <x:v>原文快照</x:v>
      </x:c>
      <x:c r="L1" s="89" t="str">
        <x:v>页码</x:v>
      </x:c>
      <x:c r="M1" s="89" t="str">
        <x:v>口径备注</x:v>
      </x:c>
    </x:row>
    <x:row r="2">
      <x:c r="A2" t="str">
        <x:v>360823</x:v>
      </x:c>
      <x:c r="B2" t="str">
        <x:v>峡江县</x:v>
      </x:c>
      <x:c r="C2" t="str">
        <x:v>县</x:v>
      </x:c>
      <x:c r="D2" t="str">
        <x:v>2024</x:v>
      </x:c>
      <x:c r="E2" t="str">
        <x:v>pension_enterprise_recipients_year_end</x:v>
      </x:c>
      <x:c r="F2" t="n">
        <x:v>10779</x:v>
      </x:c>
      <x:c r="G2" t="str">
        <x:v>人</x:v>
      </x:c>
      <x:c r="H2" t="str">
        <x:v>enterprise</x:v>
      </x:c>
      <x:c r="I2" t="str">
        <x:v>S03</x:v>
      </x:c>
      <x:c r="J2" t="str">
        <x:v>B_转载待官方核</x:v>
      </x:c>
      <x:c r="K2" t="str">
        <x:v>未备份原始网页；依据检索核对</x:v>
      </x:c>
      <x:c r="L2" t="str"/>
      <x:c r="M2" t="str">
        <x:v>年末人数，非全年平均领取人数</x:v>
      </x:c>
    </x:row>
    <x:row r="3">
      <x:c r="A3" t="str">
        <x:v>360823</x:v>
      </x:c>
      <x:c r="B3" t="str">
        <x:v>峡江县</x:v>
      </x:c>
      <x:c r="C3" t="str">
        <x:v>县</x:v>
      </x:c>
      <x:c r="D3" t="str">
        <x:v>2024</x:v>
      </x:c>
      <x:c r="E3" t="str">
        <x:v>pension_enterprise_annual_paid</x:v>
      </x:c>
      <x:c r="F3" t="n">
        <x:v>26955.46</x:v>
      </x:c>
      <x:c r="G3" t="str">
        <x:v>万元</x:v>
      </x:c>
      <x:c r="H3" t="str">
        <x:v>enterprise</x:v>
      </x:c>
      <x:c r="I3" t="str">
        <x:v>S03</x:v>
      </x:c>
      <x:c r="J3" t="str">
        <x:v>B_转载待官方核</x:v>
      </x:c>
      <x:c r="K3" t="str">
        <x:v>未备份原始网页；依据检索核对</x:v>
      </x:c>
      <x:c r="L3" t="str"/>
      <x:c r="M3" t="str">
        <x:v>2025初步快报，资金发放口径待专项核对</x:v>
      </x:c>
    </x:row>
    <x:row r="4">
      <x:c r="A4" t="str">
        <x:v>360823</x:v>
      </x:c>
      <x:c r="B4" t="str">
        <x:v>峡江县</x:v>
      </x:c>
      <x:c r="C4" t="str">
        <x:v>县</x:v>
      </x:c>
      <x:c r="D4" t="str">
        <x:v>2024</x:v>
      </x:c>
      <x:c r="E4" t="str">
        <x:v>pension_enterprise_active_or_paid</x:v>
      </x:c>
      <x:c r="F4" t="n">
        <x:v>24495</x:v>
      </x:c>
      <x:c r="G4" t="str">
        <x:v>人</x:v>
      </x:c>
      <x:c r="H4" t="str">
        <x:v>enterprise</x:v>
      </x:c>
      <x:c r="I4" t="str">
        <x:v>S03</x:v>
      </x:c>
      <x:c r="J4" t="str">
        <x:v>B_转载待官方核</x:v>
      </x:c>
      <x:c r="K4" t="str">
        <x:v>未备份原始网页；依据检索核对</x:v>
      </x:c>
      <x:c r="L4" t="str"/>
      <x:c r="M4" t="str">
        <x:v>职工在职参保/城乡居民实际缴费不同口径</x:v>
      </x:c>
    </x:row>
    <x:row r="5">
      <x:c r="A5" t="str">
        <x:v>360823</x:v>
      </x:c>
      <x:c r="B5" t="str">
        <x:v>峡江县</x:v>
      </x:c>
      <x:c r="C5" t="str">
        <x:v>县</x:v>
      </x:c>
      <x:c r="D5" t="str">
        <x:v>2024</x:v>
      </x:c>
      <x:c r="E5" t="str">
        <x:v>pension_enterprise_contribution</x:v>
      </x:c>
      <x:c r="F5" t="n">
        <x:v>18642.9</x:v>
      </x:c>
      <x:c r="G5" t="str">
        <x:v>万元</x:v>
      </x:c>
      <x:c r="H5" t="str">
        <x:v>enterprise</x:v>
      </x:c>
      <x:c r="I5" t="str">
        <x:v>S03</x:v>
      </x:c>
      <x:c r="J5" t="str">
        <x:v>B_转载待官方核</x:v>
      </x:c>
      <x:c r="K5" t="str">
        <x:v>未备份原始网页；依据检索核对</x:v>
      </x:c>
      <x:c r="L5" t="str"/>
      <x:c r="M5" t="str">
        <x:v>征缴基金，不等于同一县域待遇支付的全部资金来源</x:v>
      </x:c>
    </x:row>
    <x:row r="6">
      <x:c r="A6" t="str">
        <x:v>360823</x:v>
      </x:c>
      <x:c r="B6" t="str">
        <x:v>峡江县</x:v>
      </x:c>
      <x:c r="C6" t="str">
        <x:v>县</x:v>
      </x:c>
      <x:c r="D6" t="str">
        <x:v>2024</x:v>
      </x:c>
      <x:c r="E6" t="str">
        <x:v>pension_public_recipients_year_end</x:v>
      </x:c>
      <x:c r="F6" t="n">
        <x:v>2453</x:v>
      </x:c>
      <x:c r="G6" t="str">
        <x:v>人</x:v>
      </x:c>
      <x:c r="H6" t="str">
        <x:v>public</x:v>
      </x:c>
      <x:c r="I6" t="str">
        <x:v>S03</x:v>
      </x:c>
      <x:c r="J6" t="str">
        <x:v>B_转载待官方核</x:v>
      </x:c>
      <x:c r="K6" t="str">
        <x:v>未备份原始网页；依据检索核对</x:v>
      </x:c>
      <x:c r="L6" t="str"/>
      <x:c r="M6" t="str">
        <x:v>年末人数，非全年平均领取人数</x:v>
      </x:c>
    </x:row>
    <x:row r="7">
      <x:c r="A7" t="str">
        <x:v>360823</x:v>
      </x:c>
      <x:c r="B7" t="str">
        <x:v>峡江县</x:v>
      </x:c>
      <x:c r="C7" t="str">
        <x:v>县</x:v>
      </x:c>
      <x:c r="D7" t="str">
        <x:v>2024</x:v>
      </x:c>
      <x:c r="E7" t="str">
        <x:v>pension_public_annual_paid</x:v>
      </x:c>
      <x:c r="F7" t="n">
        <x:v>15209.48</x:v>
      </x:c>
      <x:c r="G7" t="str">
        <x:v>万元</x:v>
      </x:c>
      <x:c r="H7" t="str">
        <x:v>public</x:v>
      </x:c>
      <x:c r="I7" t="str">
        <x:v>S03</x:v>
      </x:c>
      <x:c r="J7" t="str">
        <x:v>B_转载待官方核</x:v>
      </x:c>
      <x:c r="K7" t="str">
        <x:v>未备份原始网页；依据检索核对</x:v>
      </x:c>
      <x:c r="L7" t="str"/>
      <x:c r="M7" t="str">
        <x:v>2025初步快报，资金发放口径待专项核对</x:v>
      </x:c>
    </x:row>
    <x:row r="8">
      <x:c r="A8" t="str">
        <x:v>360823</x:v>
      </x:c>
      <x:c r="B8" t="str">
        <x:v>峡江县</x:v>
      </x:c>
      <x:c r="C8" t="str">
        <x:v>县</x:v>
      </x:c>
      <x:c r="D8" t="str">
        <x:v>2024</x:v>
      </x:c>
      <x:c r="E8" t="str">
        <x:v>pension_public_active_or_paid</x:v>
      </x:c>
      <x:c r="F8" t="n">
        <x:v>4977</x:v>
      </x:c>
      <x:c r="G8" t="str">
        <x:v>人</x:v>
      </x:c>
      <x:c r="H8" t="str">
        <x:v>public</x:v>
      </x:c>
      <x:c r="I8" t="str">
        <x:v>S03</x:v>
      </x:c>
      <x:c r="J8" t="str">
        <x:v>B_转载待官方核</x:v>
      </x:c>
      <x:c r="K8" t="str">
        <x:v>未备份原始网页；依据检索核对</x:v>
      </x:c>
      <x:c r="L8" t="str"/>
      <x:c r="M8" t="str">
        <x:v>职工在职参保/城乡居民实际缴费不同口径</x:v>
      </x:c>
    </x:row>
    <x:row r="9">
      <x:c r="A9" t="str">
        <x:v>360823</x:v>
      </x:c>
      <x:c r="B9" t="str">
        <x:v>峡江县</x:v>
      </x:c>
      <x:c r="C9" t="str">
        <x:v>县</x:v>
      </x:c>
      <x:c r="D9" t="str">
        <x:v>2024</x:v>
      </x:c>
      <x:c r="E9" t="str">
        <x:v>pension_public_contribution</x:v>
      </x:c>
      <x:c r="F9" t="n">
        <x:v>11378.18</x:v>
      </x:c>
      <x:c r="G9" t="str">
        <x:v>万元</x:v>
      </x:c>
      <x:c r="H9" t="str">
        <x:v>public</x:v>
      </x:c>
      <x:c r="I9" t="str">
        <x:v>S03</x:v>
      </x:c>
      <x:c r="J9" t="str">
        <x:v>B_转载待官方核</x:v>
      </x:c>
      <x:c r="K9" t="str">
        <x:v>未备份原始网页；依据检索核对</x:v>
      </x:c>
      <x:c r="L9" t="str"/>
      <x:c r="M9" t="str">
        <x:v>征缴基金，不等于同一县域待遇支付的全部资金来源</x:v>
      </x:c>
    </x:row>
    <x:row r="10">
      <x:c r="A10" t="str">
        <x:v>360823</x:v>
      </x:c>
      <x:c r="B10" t="str">
        <x:v>峡江县</x:v>
      </x:c>
      <x:c r="C10" t="str">
        <x:v>县</x:v>
      </x:c>
      <x:c r="D10" t="str">
        <x:v>2024</x:v>
      </x:c>
      <x:c r="E10" t="str">
        <x:v>pension_resident_recipients_year_end</x:v>
      </x:c>
      <x:c r="F10" t="n">
        <x:v>25995</x:v>
      </x:c>
      <x:c r="G10" t="str">
        <x:v>人</x:v>
      </x:c>
      <x:c r="H10" t="str">
        <x:v>resident</x:v>
      </x:c>
      <x:c r="I10" t="str">
        <x:v>S03</x:v>
      </x:c>
      <x:c r="J10" t="str">
        <x:v>B_转载待官方核</x:v>
      </x:c>
      <x:c r="K10" t="str">
        <x:v>未备份原始网页；依据检索核对</x:v>
      </x:c>
      <x:c r="L10" t="str"/>
      <x:c r="M10" t="str">
        <x:v>年末人数，非全年平均领取人数</x:v>
      </x:c>
    </x:row>
    <x:row r="11">
      <x:c r="A11" t="str">
        <x:v>360823</x:v>
      </x:c>
      <x:c r="B11" t="str">
        <x:v>峡江县</x:v>
      </x:c>
      <x:c r="C11" t="str">
        <x:v>县</x:v>
      </x:c>
      <x:c r="D11" t="str">
        <x:v>2024</x:v>
      </x:c>
      <x:c r="E11" t="str">
        <x:v>pension_resident_annual_paid</x:v>
      </x:c>
      <x:c r="F11" t="n">
        <x:v>5975.44</x:v>
      </x:c>
      <x:c r="G11" t="str">
        <x:v>万元</x:v>
      </x:c>
      <x:c r="H11" t="str">
        <x:v>resident</x:v>
      </x:c>
      <x:c r="I11" t="str">
        <x:v>S03</x:v>
      </x:c>
      <x:c r="J11" t="str">
        <x:v>B_转载待官方核</x:v>
      </x:c>
      <x:c r="K11" t="str">
        <x:v>未备份原始网页；依据检索核对</x:v>
      </x:c>
      <x:c r="L11" t="str"/>
      <x:c r="M11" t="str">
        <x:v>2025初步快报，资金发放口径待专项核对</x:v>
      </x:c>
    </x:row>
    <x:row r="12">
      <x:c r="A12" t="str">
        <x:v>360823</x:v>
      </x:c>
      <x:c r="B12" t="str">
        <x:v>峡江县</x:v>
      </x:c>
      <x:c r="C12" t="str">
        <x:v>县</x:v>
      </x:c>
      <x:c r="D12" t="str">
        <x:v>2024</x:v>
      </x:c>
      <x:c r="E12" t="str">
        <x:v>pension_resident_active_or_paid</x:v>
      </x:c>
      <x:c r="F12" t="n">
        <x:v>33989</x:v>
      </x:c>
      <x:c r="G12" t="str">
        <x:v>人</x:v>
      </x:c>
      <x:c r="H12" t="str">
        <x:v>resident</x:v>
      </x:c>
      <x:c r="I12" t="str">
        <x:v>S03</x:v>
      </x:c>
      <x:c r="J12" t="str">
        <x:v>B_转载待官方核</x:v>
      </x:c>
      <x:c r="K12" t="str">
        <x:v>未备份原始网页；依据检索核对</x:v>
      </x:c>
      <x:c r="L12" t="str"/>
      <x:c r="M12" t="str">
        <x:v>职工在职参保/城乡居民实际缴费不同口径</x:v>
      </x:c>
    </x:row>
    <x:row r="13">
      <x:c r="A13" t="str">
        <x:v>360823</x:v>
      </x:c>
      <x:c r="B13" t="str">
        <x:v>峡江县</x:v>
      </x:c>
      <x:c r="C13" t="str">
        <x:v>县</x:v>
      </x:c>
      <x:c r="D13" t="str">
        <x:v>2024</x:v>
      </x:c>
      <x:c r="E13" t="str">
        <x:v>pension_resident_contribution</x:v>
      </x:c>
      <x:c r="F13" t="n">
        <x:v>4208.58</x:v>
      </x:c>
      <x:c r="G13" t="str">
        <x:v>万元</x:v>
      </x:c>
      <x:c r="H13" t="str">
        <x:v>resident</x:v>
      </x:c>
      <x:c r="I13" t="str">
        <x:v>S03</x:v>
      </x:c>
      <x:c r="J13" t="str">
        <x:v>B_转载待官方核</x:v>
      </x:c>
      <x:c r="K13" t="str">
        <x:v>未备份原始网页；依据检索核对</x:v>
      </x:c>
      <x:c r="L13" t="str"/>
      <x:c r="M13" t="str">
        <x:v>征缴基金，不等于同一县域待遇支付的全部资金来源</x:v>
      </x:c>
    </x:row>
    <x:row r="14">
      <x:c r="A14" t="str">
        <x:v>360823</x:v>
      </x:c>
      <x:c r="B14" t="str">
        <x:v>峡江县</x:v>
      </x:c>
      <x:c r="C14" t="str">
        <x:v>县</x:v>
      </x:c>
      <x:c r="D14" t="str">
        <x:v>2025</x:v>
      </x:c>
      <x:c r="E14" t="str">
        <x:v>pension_enterprise_recipients_year_end</x:v>
      </x:c>
      <x:c r="F14" t="n">
        <x:v>11273</x:v>
      </x:c>
      <x:c r="G14" t="str">
        <x:v>人</x:v>
      </x:c>
      <x:c r="H14" t="str">
        <x:v>enterprise</x:v>
      </x:c>
      <x:c r="I14" t="str">
        <x:v>S02</x:v>
      </x:c>
      <x:c r="J14" t="str">
        <x:v>B_转载待官方核</x:v>
      </x:c>
      <x:c r="K14" t="str">
        <x:v>未备份原始网页；依据检索核对</x:v>
      </x:c>
      <x:c r="L14" t="str"/>
      <x:c r="M14" t="str">
        <x:v>年末人数，非全年平均领取人数</x:v>
      </x:c>
    </x:row>
    <x:row r="15">
      <x:c r="A15" t="str">
        <x:v>360823</x:v>
      </x:c>
      <x:c r="B15" t="str">
        <x:v>峡江县</x:v>
      </x:c>
      <x:c r="C15" t="str">
        <x:v>县</x:v>
      </x:c>
      <x:c r="D15" t="str">
        <x:v>2025</x:v>
      </x:c>
      <x:c r="E15" t="str">
        <x:v>pension_enterprise_annual_paid</x:v>
      </x:c>
      <x:c r="F15" t="n">
        <x:v>29571.25</x:v>
      </x:c>
      <x:c r="G15" t="str">
        <x:v>万元</x:v>
      </x:c>
      <x:c r="H15" t="str">
        <x:v>enterprise</x:v>
      </x:c>
      <x:c r="I15" t="str">
        <x:v>S02</x:v>
      </x:c>
      <x:c r="J15" t="str">
        <x:v>B_转载待官方核</x:v>
      </x:c>
      <x:c r="K15" t="str">
        <x:v>未备份原始网页；依据检索核对</x:v>
      </x:c>
      <x:c r="L15" t="str"/>
      <x:c r="M15" t="str">
        <x:v>2025初步快报，资金发放口径待专项核对</x:v>
      </x:c>
    </x:row>
    <x:row r="16">
      <x:c r="A16" t="str">
        <x:v>360823</x:v>
      </x:c>
      <x:c r="B16" t="str">
        <x:v>峡江县</x:v>
      </x:c>
      <x:c r="C16" t="str">
        <x:v>县</x:v>
      </x:c>
      <x:c r="D16" t="str">
        <x:v>2025</x:v>
      </x:c>
      <x:c r="E16" t="str">
        <x:v>pension_enterprise_active_or_paid</x:v>
      </x:c>
      <x:c r="F16" t="n">
        <x:v>23914</x:v>
      </x:c>
      <x:c r="G16" t="str">
        <x:v>人</x:v>
      </x:c>
      <x:c r="H16" t="str">
        <x:v>enterprise</x:v>
      </x:c>
      <x:c r="I16" t="str">
        <x:v>S02</x:v>
      </x:c>
      <x:c r="J16" t="str">
        <x:v>B_转载待官方核</x:v>
      </x:c>
      <x:c r="K16" t="str">
        <x:v>未备份原始网页；依据检索核对</x:v>
      </x:c>
      <x:c r="L16" t="str"/>
      <x:c r="M16" t="str">
        <x:v>职工在职参保/城乡居民实际缴费不同口径</x:v>
      </x:c>
    </x:row>
    <x:row r="17">
      <x:c r="A17" t="str">
        <x:v>360823</x:v>
      </x:c>
      <x:c r="B17" t="str">
        <x:v>峡江县</x:v>
      </x:c>
      <x:c r="C17" t="str">
        <x:v>县</x:v>
      </x:c>
      <x:c r="D17" t="str">
        <x:v>2025</x:v>
      </x:c>
      <x:c r="E17" t="str">
        <x:v>pension_enterprise_contribution</x:v>
      </x:c>
      <x:c r="F17" t="n">
        <x:v>20208.14</x:v>
      </x:c>
      <x:c r="G17" t="str">
        <x:v>万元</x:v>
      </x:c>
      <x:c r="H17" t="str">
        <x:v>enterprise</x:v>
      </x:c>
      <x:c r="I17" t="str">
        <x:v>S02</x:v>
      </x:c>
      <x:c r="J17" t="str">
        <x:v>B_转载待官方核</x:v>
      </x:c>
      <x:c r="K17" t="str">
        <x:v>未备份原始网页；依据检索核对</x:v>
      </x:c>
      <x:c r="L17" t="str"/>
      <x:c r="M17" t="str">
        <x:v>征缴基金，不等于同一县域待遇支付的全部资金来源</x:v>
      </x:c>
    </x:row>
    <x:row r="18">
      <x:c r="A18" t="str">
        <x:v>360823</x:v>
      </x:c>
      <x:c r="B18" t="str">
        <x:v>峡江县</x:v>
      </x:c>
      <x:c r="C18" t="str">
        <x:v>县</x:v>
      </x:c>
      <x:c r="D18" t="str">
        <x:v>2025</x:v>
      </x:c>
      <x:c r="E18" t="str">
        <x:v>pension_public_recipients_year_end</x:v>
      </x:c>
      <x:c r="F18" t="n">
        <x:v>2508</x:v>
      </x:c>
      <x:c r="G18" t="str">
        <x:v>人</x:v>
      </x:c>
      <x:c r="H18" t="str">
        <x:v>public</x:v>
      </x:c>
      <x:c r="I18" t="str">
        <x:v>S02</x:v>
      </x:c>
      <x:c r="J18" t="str">
        <x:v>B_转载待官方核</x:v>
      </x:c>
      <x:c r="K18" t="str">
        <x:v>未备份原始网页；依据检索核对</x:v>
      </x:c>
      <x:c r="L18" t="str"/>
      <x:c r="M18" t="str">
        <x:v>年末人数，非全年平均领取人数</x:v>
      </x:c>
    </x:row>
    <x:row r="19">
      <x:c r="A19" t="str">
        <x:v>360823</x:v>
      </x:c>
      <x:c r="B19" t="str">
        <x:v>峡江县</x:v>
      </x:c>
      <x:c r="C19" t="str">
        <x:v>县</x:v>
      </x:c>
      <x:c r="D19" t="str">
        <x:v>2025</x:v>
      </x:c>
      <x:c r="E19" t="str">
        <x:v>pension_public_annual_paid</x:v>
      </x:c>
      <x:c r="F19" t="n">
        <x:v>16218.5</x:v>
      </x:c>
      <x:c r="G19" t="str">
        <x:v>万元</x:v>
      </x:c>
      <x:c r="H19" t="str">
        <x:v>public</x:v>
      </x:c>
      <x:c r="I19" t="str">
        <x:v>S02</x:v>
      </x:c>
      <x:c r="J19" t="str">
        <x:v>B_转载待官方核</x:v>
      </x:c>
      <x:c r="K19" t="str">
        <x:v>未备份原始网页；依据检索核对</x:v>
      </x:c>
      <x:c r="L19" t="str"/>
      <x:c r="M19" t="str">
        <x:v>2025初步快报，资金发放口径待专项核对</x:v>
      </x:c>
    </x:row>
    <x:row r="20">
      <x:c r="A20" t="str">
        <x:v>360823</x:v>
      </x:c>
      <x:c r="B20" t="str">
        <x:v>峡江县</x:v>
      </x:c>
      <x:c r="C20" t="str">
        <x:v>县</x:v>
      </x:c>
      <x:c r="D20" t="str">
        <x:v>2025</x:v>
      </x:c>
      <x:c r="E20" t="str">
        <x:v>pension_public_active_or_paid</x:v>
      </x:c>
      <x:c r="F20" t="n">
        <x:v>4952</x:v>
      </x:c>
      <x:c r="G20" t="str">
        <x:v>人</x:v>
      </x:c>
      <x:c r="H20" t="str">
        <x:v>public</x:v>
      </x:c>
      <x:c r="I20" t="str">
        <x:v>S02</x:v>
      </x:c>
      <x:c r="J20" t="str">
        <x:v>B_转载待官方核</x:v>
      </x:c>
      <x:c r="K20" t="str">
        <x:v>未备份原始网页；依据检索核对</x:v>
      </x:c>
      <x:c r="L20" t="str"/>
      <x:c r="M20" t="str">
        <x:v>职工在职参保/城乡居民实际缴费不同口径</x:v>
      </x:c>
    </x:row>
    <x:row r="21">
      <x:c r="A21" t="str">
        <x:v>360823</x:v>
      </x:c>
      <x:c r="B21" t="str">
        <x:v>峡江县</x:v>
      </x:c>
      <x:c r="C21" t="str">
        <x:v>县</x:v>
      </x:c>
      <x:c r="D21" t="str">
        <x:v>2025</x:v>
      </x:c>
      <x:c r="E21" t="str">
        <x:v>pension_public_contribution</x:v>
      </x:c>
      <x:c r="F21" t="n">
        <x:v>11723.52</x:v>
      </x:c>
      <x:c r="G21" t="str">
        <x:v>万元</x:v>
      </x:c>
      <x:c r="H21" t="str">
        <x:v>public</x:v>
      </x:c>
      <x:c r="I21" t="str">
        <x:v>S02</x:v>
      </x:c>
      <x:c r="J21" t="str">
        <x:v>B_转载待官方核</x:v>
      </x:c>
      <x:c r="K21" t="str">
        <x:v>未备份原始网页；依据检索核对</x:v>
      </x:c>
      <x:c r="L21" t="str"/>
      <x:c r="M21" t="str">
        <x:v>征缴基金，不等于同一县域待遇支付的全部资金来源</x:v>
      </x:c>
    </x:row>
    <x:row r="22">
      <x:c r="A22" t="str">
        <x:v>360823</x:v>
      </x:c>
      <x:c r="B22" t="str">
        <x:v>峡江县</x:v>
      </x:c>
      <x:c r="C22" t="str">
        <x:v>县</x:v>
      </x:c>
      <x:c r="D22" t="str">
        <x:v>2025</x:v>
      </x:c>
      <x:c r="E22" t="str">
        <x:v>pension_resident_recipients_year_end</x:v>
      </x:c>
      <x:c r="F22" t="n">
        <x:v>27367</x:v>
      </x:c>
      <x:c r="G22" t="str">
        <x:v>人</x:v>
      </x:c>
      <x:c r="H22" t="str">
        <x:v>resident</x:v>
      </x:c>
      <x:c r="I22" t="str">
        <x:v>S02</x:v>
      </x:c>
      <x:c r="J22" t="str">
        <x:v>B_转载待官方核</x:v>
      </x:c>
      <x:c r="K22" t="str">
        <x:v>未备份原始网页；依据检索核对</x:v>
      </x:c>
      <x:c r="L22" t="str"/>
      <x:c r="M22" t="str">
        <x:v>年末人数，非全年平均领取人数</x:v>
      </x:c>
    </x:row>
    <x:row r="23">
      <x:c r="A23" t="str">
        <x:v>360823</x:v>
      </x:c>
      <x:c r="B23" t="str">
        <x:v>峡江县</x:v>
      </x:c>
      <x:c r="C23" t="str">
        <x:v>县</x:v>
      </x:c>
      <x:c r="D23" t="str">
        <x:v>2025</x:v>
      </x:c>
      <x:c r="E23" t="str">
        <x:v>pension_resident_annual_paid</x:v>
      </x:c>
      <x:c r="F23" t="n">
        <x:v>7910.83</x:v>
      </x:c>
      <x:c r="G23" t="str">
        <x:v>万元</x:v>
      </x:c>
      <x:c r="H23" t="str">
        <x:v>resident</x:v>
      </x:c>
      <x:c r="I23" t="str">
        <x:v>S02</x:v>
      </x:c>
      <x:c r="J23" t="str">
        <x:v>B_转载待官方核</x:v>
      </x:c>
      <x:c r="K23" t="str">
        <x:v>未备份原始网页；依据检索核对</x:v>
      </x:c>
      <x:c r="L23" t="str"/>
      <x:c r="M23" t="str">
        <x:v>2025初步快报，资金发放口径待专项核对</x:v>
      </x:c>
    </x:row>
    <x:row r="24">
      <x:c r="A24" t="str">
        <x:v>360823</x:v>
      </x:c>
      <x:c r="B24" t="str">
        <x:v>峡江县</x:v>
      </x:c>
      <x:c r="C24" t="str">
        <x:v>县</x:v>
      </x:c>
      <x:c r="D24" t="str">
        <x:v>2025</x:v>
      </x:c>
      <x:c r="E24" t="str">
        <x:v>pension_resident_active_or_paid</x:v>
      </x:c>
      <x:c r="F24" t="n">
        <x:v>31028</x:v>
      </x:c>
      <x:c r="G24" t="str">
        <x:v>人</x:v>
      </x:c>
      <x:c r="H24" t="str">
        <x:v>resident</x:v>
      </x:c>
      <x:c r="I24" t="str">
        <x:v>S02</x:v>
      </x:c>
      <x:c r="J24" t="str">
        <x:v>B_转载待官方核</x:v>
      </x:c>
      <x:c r="K24" t="str">
        <x:v>未备份原始网页；依据检索核对</x:v>
      </x:c>
      <x:c r="L24" t="str"/>
      <x:c r="M24" t="str">
        <x:v>职工在职参保/城乡居民实际缴费不同口径</x:v>
      </x:c>
    </x:row>
    <x:row r="25">
      <x:c r="A25" t="str">
        <x:v>360823</x:v>
      </x:c>
      <x:c r="B25" t="str">
        <x:v>峡江县</x:v>
      </x:c>
      <x:c r="C25" t="str">
        <x:v>县</x:v>
      </x:c>
      <x:c r="D25" t="str">
        <x:v>2025</x:v>
      </x:c>
      <x:c r="E25" t="str">
        <x:v>pension_resident_contribution</x:v>
      </x:c>
      <x:c r="F25" t="n">
        <x:v>5134.06</x:v>
      </x:c>
      <x:c r="G25" t="str">
        <x:v>万元</x:v>
      </x:c>
      <x:c r="H25" t="str">
        <x:v>resident</x:v>
      </x:c>
      <x:c r="I25" t="str">
        <x:v>S02</x:v>
      </x:c>
      <x:c r="J25" t="str">
        <x:v>B_转载待官方核</x:v>
      </x:c>
      <x:c r="K25" t="str">
        <x:v>未备份原始网页；依据检索核对</x:v>
      </x:c>
      <x:c r="L25" t="str"/>
      <x:c r="M25" t="str">
        <x:v>征缴基金，不等于同一县域待遇支付的全部资金来源</x:v>
      </x:c>
    </x:row>
    <x:row r="26">
      <x:c r="A26" t="str">
        <x:v>360823</x:v>
      </x:c>
      <x:c r="B26" t="str">
        <x:v>峡江县</x:v>
      </x:c>
      <x:c r="C26" t="str">
        <x:v>县</x:v>
      </x:c>
      <x:c r="D26" t="str">
        <x:v>2024</x:v>
      </x:c>
      <x:c r="E26" t="str">
        <x:v>resident_population_year_end</x:v>
      </x:c>
      <x:c r="F26" t="n">
        <x:v>146153</x:v>
      </x:c>
      <x:c r="G26" t="str">
        <x:v>人</x:v>
      </x:c>
      <x:c r="H26" t="str">
        <x:v>常住人口</x:v>
      </x:c>
      <x:c r="I26" t="str">
        <x:v>S03</x:v>
      </x:c>
      <x:c r="J26" t="str">
        <x:v>B_转载待官方核</x:v>
      </x:c>
      <x:c r="K26" t="str">
        <x:v>未备份原始网页；依据检索核对</x:v>
      </x:c>
      <x:c r="L26" t="str"/>
      <x:c r="M26" t="str"/>
    </x:row>
    <x:row r="27">
      <x:c r="A27" t="str">
        <x:v>360823</x:v>
      </x:c>
      <x:c r="B27" t="str">
        <x:v>峡江县</x:v>
      </x:c>
      <x:c r="C27" t="str">
        <x:v>县</x:v>
      </x:c>
      <x:c r="D27" t="str">
        <x:v>2024</x:v>
      </x:c>
      <x:c r="E27" t="str">
        <x:v>births</x:v>
      </x:c>
      <x:c r="F27" t="n">
        <x:v>1188</x:v>
      </x:c>
      <x:c r="G27" t="str">
        <x:v>人</x:v>
      </x:c>
      <x:c r="H27" t="str">
        <x:v>常住人口</x:v>
      </x:c>
      <x:c r="I27" t="str">
        <x:v>S03</x:v>
      </x:c>
      <x:c r="J27" t="str">
        <x:v>B_转载待官方核</x:v>
      </x:c>
      <x:c r="K27" t="str">
        <x:v>未备份原始网页；依据检索核对</x:v>
      </x:c>
      <x:c r="L27" t="str"/>
      <x:c r="M27" t="str"/>
    </x:row>
    <x:row r="28">
      <x:c r="A28" t="str">
        <x:v>360823</x:v>
      </x:c>
      <x:c r="B28" t="str">
        <x:v>峡江县</x:v>
      </x:c>
      <x:c r="C28" t="str">
        <x:v>县</x:v>
      </x:c>
      <x:c r="D28" t="str">
        <x:v>2024</x:v>
      </x:c>
      <x:c r="E28" t="str">
        <x:v>deaths</x:v>
      </x:c>
      <x:c r="F28" t="n">
        <x:v>1251</x:v>
      </x:c>
      <x:c r="G28" t="str">
        <x:v>人</x:v>
      </x:c>
      <x:c r="H28" t="str">
        <x:v>常住人口</x:v>
      </x:c>
      <x:c r="I28" t="str">
        <x:v>S03</x:v>
      </x:c>
      <x:c r="J28" t="str">
        <x:v>B_转载待官方核</x:v>
      </x:c>
      <x:c r="K28" t="str">
        <x:v>未备份原始网页；依据检索核对</x:v>
      </x:c>
      <x:c r="L28" t="str"/>
      <x:c r="M28" t="str"/>
    </x:row>
    <x:row r="29">
      <x:c r="A29" t="str">
        <x:v>360823</x:v>
      </x:c>
      <x:c r="B29" t="str">
        <x:v>峡江县</x:v>
      </x:c>
      <x:c r="C29" t="str">
        <x:v>县</x:v>
      </x:c>
      <x:c r="D29" t="str">
        <x:v>2024</x:v>
      </x:c>
      <x:c r="E29" t="str">
        <x:v>urban_resident_population</x:v>
      </x:c>
      <x:c r="F29" t="n">
        <x:v>77415</x:v>
      </x:c>
      <x:c r="G29" t="str">
        <x:v>人</x:v>
      </x:c>
      <x:c r="H29" t="str">
        <x:v>常住人口</x:v>
      </x:c>
      <x:c r="I29" t="str">
        <x:v>S03</x:v>
      </x:c>
      <x:c r="J29" t="str">
        <x:v>B_转载待官方核</x:v>
      </x:c>
      <x:c r="K29" t="str">
        <x:v>未备份原始网页；依据检索核对</x:v>
      </x:c>
      <x:c r="L29" t="str"/>
      <x:c r="M29" t="str"/>
    </x:row>
    <x:row r="30">
      <x:c r="A30" t="str">
        <x:v>360823</x:v>
      </x:c>
      <x:c r="B30" t="str">
        <x:v>峡江县</x:v>
      </x:c>
      <x:c r="C30" t="str">
        <x:v>县</x:v>
      </x:c>
      <x:c r="D30" t="str">
        <x:v>2024</x:v>
      </x:c>
      <x:c r="E30" t="str">
        <x:v>hukou_population</x:v>
      </x:c>
      <x:c r="F30" t="n">
        <x:v>188734</x:v>
      </x:c>
      <x:c r="G30" t="str">
        <x:v>人</x:v>
      </x:c>
      <x:c r="H30" t="str">
        <x:v>户籍</x:v>
      </x:c>
      <x:c r="I30" t="str">
        <x:v>S03</x:v>
      </x:c>
      <x:c r="J30" t="str">
        <x:v>B_转载待官方核</x:v>
      </x:c>
      <x:c r="K30" t="str">
        <x:v>未备份原始网页；依据检索核对</x:v>
      </x:c>
      <x:c r="L30" t="str"/>
      <x:c r="M30" t="str"/>
    </x:row>
    <x:row r="31">
      <x:c r="A31" t="str">
        <x:v>360823</x:v>
      </x:c>
      <x:c r="B31" t="str">
        <x:v>峡江县</x:v>
      </x:c>
      <x:c r="C31" t="str">
        <x:v>县</x:v>
      </x:c>
      <x:c r="D31" t="str">
        <x:v>2025</x:v>
      </x:c>
      <x:c r="E31" t="str">
        <x:v>resident_population_year_end</x:v>
      </x:c>
      <x:c r="F31" t="n">
        <x:v>142688</x:v>
      </x:c>
      <x:c r="G31" t="str">
        <x:v>人</x:v>
      </x:c>
      <x:c r="H31" t="str">
        <x:v>常住人口</x:v>
      </x:c>
      <x:c r="I31" t="str">
        <x:v>S02</x:v>
      </x:c>
      <x:c r="J31" t="str">
        <x:v>B_转载待官方核</x:v>
      </x:c>
      <x:c r="K31" t="str">
        <x:v>未备份原始网页；依据检索核对</x:v>
      </x:c>
      <x:c r="L31" t="str"/>
      <x:c r="M31" t="str"/>
    </x:row>
    <x:row r="32">
      <x:c r="A32" t="str">
        <x:v>360823</x:v>
      </x:c>
      <x:c r="B32" t="str">
        <x:v>峡江县</x:v>
      </x:c>
      <x:c r="C32" t="str">
        <x:v>县</x:v>
      </x:c>
      <x:c r="D32" t="str">
        <x:v>2025</x:v>
      </x:c>
      <x:c r="E32" t="str">
        <x:v>births</x:v>
      </x:c>
      <x:c r="F32" t="n">
        <x:v>931</x:v>
      </x:c>
      <x:c r="G32" t="str">
        <x:v>人</x:v>
      </x:c>
      <x:c r="H32" t="str">
        <x:v>常住人口</x:v>
      </x:c>
      <x:c r="I32" t="str">
        <x:v>S02</x:v>
      </x:c>
      <x:c r="J32" t="str">
        <x:v>B_转载待官方核</x:v>
      </x:c>
      <x:c r="K32" t="str">
        <x:v>未备份原始网页；依据检索核对</x:v>
      </x:c>
      <x:c r="L32" t="str"/>
      <x:c r="M32" t="str"/>
    </x:row>
    <x:row r="33">
      <x:c r="A33" t="str">
        <x:v>360823</x:v>
      </x:c>
      <x:c r="B33" t="str">
        <x:v>峡江县</x:v>
      </x:c>
      <x:c r="C33" t="str">
        <x:v>县</x:v>
      </x:c>
      <x:c r="D33" t="str">
        <x:v>2025</x:v>
      </x:c>
      <x:c r="E33" t="str">
        <x:v>deaths</x:v>
      </x:c>
      <x:c r="F33" t="n">
        <x:v>1048</x:v>
      </x:c>
      <x:c r="G33" t="str">
        <x:v>人</x:v>
      </x:c>
      <x:c r="H33" t="str">
        <x:v>常住人口</x:v>
      </x:c>
      <x:c r="I33" t="str">
        <x:v>S02</x:v>
      </x:c>
      <x:c r="J33" t="str">
        <x:v>B_转载待官方核</x:v>
      </x:c>
      <x:c r="K33" t="str">
        <x:v>未备份原始网页；依据检索核对</x:v>
      </x:c>
      <x:c r="L33" t="str"/>
      <x:c r="M33" t="str"/>
    </x:row>
    <x:row r="34">
      <x:c r="A34" t="str">
        <x:v>360823</x:v>
      </x:c>
      <x:c r="B34" t="str">
        <x:v>峡江县</x:v>
      </x:c>
      <x:c r="C34" t="str">
        <x:v>县</x:v>
      </x:c>
      <x:c r="D34" t="str">
        <x:v>2025</x:v>
      </x:c>
      <x:c r="E34" t="str">
        <x:v>urban_resident_population</x:v>
      </x:c>
      <x:c r="F34" t="n">
        <x:v>76554</x:v>
      </x:c>
      <x:c r="G34" t="str">
        <x:v>人</x:v>
      </x:c>
      <x:c r="H34" t="str">
        <x:v>常住人口</x:v>
      </x:c>
      <x:c r="I34" t="str">
        <x:v>S02</x:v>
      </x:c>
      <x:c r="J34" t="str">
        <x:v>B_转载待官方核</x:v>
      </x:c>
      <x:c r="K34" t="str">
        <x:v>未备份原始网页；依据检索核对</x:v>
      </x:c>
      <x:c r="L34" t="str"/>
      <x:c r="M34" t="str"/>
    </x:row>
    <x:row r="35">
      <x:c r="A35" t="str">
        <x:v>360823</x:v>
      </x:c>
      <x:c r="B35" t="str">
        <x:v>峡江县</x:v>
      </x:c>
      <x:c r="C35" t="str">
        <x:v>县</x:v>
      </x:c>
      <x:c r="D35" t="str">
        <x:v>2025</x:v>
      </x:c>
      <x:c r="E35" t="str">
        <x:v>hukou_population</x:v>
      </x:c>
      <x:c r="F35" t="n">
        <x:v>187997</x:v>
      </x:c>
      <x:c r="G35" t="str">
        <x:v>人</x:v>
      </x:c>
      <x:c r="H35" t="str">
        <x:v>户籍</x:v>
      </x:c>
      <x:c r="I35" t="str">
        <x:v>S02</x:v>
      </x:c>
      <x:c r="J35" t="str">
        <x:v>B_转载待官方核</x:v>
      </x:c>
      <x:c r="K35" t="str">
        <x:v>未备份原始网页；依据检索核对</x:v>
      </x:c>
      <x:c r="L35" t="str"/>
      <x:c r="M35" t="str"/>
    </x:row>
    <x:row r="36">
      <x:c r="A36" t="str">
        <x:v>360821</x:v>
      </x:c>
      <x:c r="B36" t="str">
        <x:v>吉安县</x:v>
      </x:c>
      <x:c r="C36" t="str">
        <x:v>县</x:v>
      </x:c>
      <x:c r="D36" t="str">
        <x:v>2025</x:v>
      </x:c>
      <x:c r="E36" t="str">
        <x:v>pension_enterprise_annual_paid</x:v>
      </x:c>
      <x:c r="F36" t="n">
        <x:v>57981</x:v>
      </x:c>
      <x:c r="G36" t="str">
        <x:v>万元</x:v>
      </x:c>
      <x:c r="H36" t="str">
        <x:v>enterprise</x:v>
      </x:c>
      <x:c r="I36" t="str">
        <x:v>S04</x:v>
      </x:c>
      <x:c r="J36" t="str">
        <x:v>B_转载待官方核</x:v>
      </x:c>
      <x:c r="K36" t="str">
        <x:v>未备份原始网页；依据检索核对</x:v>
      </x:c>
      <x:c r="L36" t="str"/>
      <x:c r="M36" t="str">
        <x:v>不能用参保人数替代待遇人数</x:v>
      </x:c>
    </x:row>
    <x:row r="37">
      <x:c r="A37" t="str">
        <x:v>360821</x:v>
      </x:c>
      <x:c r="B37" t="str">
        <x:v>吉安县</x:v>
      </x:c>
      <x:c r="C37" t="str">
        <x:v>县</x:v>
      </x:c>
      <x:c r="D37" t="str">
        <x:v>2025</x:v>
      </x:c>
      <x:c r="E37" t="str">
        <x:v>pension_public_annual_paid</x:v>
      </x:c>
      <x:c r="F37" t="n">
        <x:v>32639</x:v>
      </x:c>
      <x:c r="G37" t="str">
        <x:v>万元</x:v>
      </x:c>
      <x:c r="H37" t="str">
        <x:v>public</x:v>
      </x:c>
      <x:c r="I37" t="str">
        <x:v>S04</x:v>
      </x:c>
      <x:c r="J37" t="str">
        <x:v>B_转载待官方核</x:v>
      </x:c>
      <x:c r="K37" t="str">
        <x:v>未备份原始网页；依据检索核对</x:v>
      </x:c>
      <x:c r="L37" t="str"/>
      <x:c r="M37" t="str">
        <x:v>不能用参保人数替代待遇人数</x:v>
      </x:c>
    </x:row>
    <x:row r="38">
      <x:c r="A38" t="str">
        <x:v>360821</x:v>
      </x:c>
      <x:c r="B38" t="str">
        <x:v>吉安县</x:v>
      </x:c>
      <x:c r="C38" t="str">
        <x:v>县</x:v>
      </x:c>
      <x:c r="D38" t="str">
        <x:v>2025</x:v>
      </x:c>
      <x:c r="E38" t="str">
        <x:v>pension_resident_annual_paid</x:v>
      </x:c>
      <x:c r="F38" t="n">
        <x:v>22880</x:v>
      </x:c>
      <x:c r="G38" t="str">
        <x:v>万元</x:v>
      </x:c>
      <x:c r="H38" t="str">
        <x:v>resident</x:v>
      </x:c>
      <x:c r="I38" t="str">
        <x:v>S04</x:v>
      </x:c>
      <x:c r="J38" t="str">
        <x:v>B_转载待官方核</x:v>
      </x:c>
      <x:c r="K38" t="str">
        <x:v>未备份原始网页；依据检索核对</x:v>
      </x:c>
      <x:c r="L38" t="str"/>
      <x:c r="M38" t="str">
        <x:v>不能用参保人数替代待遇人数</x:v>
      </x:c>
    </x:row>
    <x:row r="39">
      <x:c r="A39" t="str">
        <x:v>360821</x:v>
      </x:c>
      <x:c r="B39" t="str">
        <x:v>吉安县</x:v>
      </x:c>
      <x:c r="C39" t="str">
        <x:v>县</x:v>
      </x:c>
      <x:c r="D39" t="str">
        <x:v>2025</x:v>
      </x:c>
      <x:c r="E39" t="str">
        <x:v>new_urban_jobs</x:v>
      </x:c>
      <x:c r="F39" t="n">
        <x:v>6041</x:v>
      </x:c>
      <x:c r="G39" t="str">
        <x:v>人</x:v>
      </x:c>
      <x:c r="H39" t="str"/>
      <x:c r="I39" t="str">
        <x:v>S04</x:v>
      </x:c>
      <x:c r="J39" t="str">
        <x:v>B_转载待官方核</x:v>
      </x:c>
      <x:c r="K39" t="str">
        <x:v>未备份原始网页；依据检索核对</x:v>
      </x:c>
      <x:c r="L39" t="str"/>
      <x:c r="M39" t="str"/>
    </x:row>
    <x:row r="40">
      <x:c r="A40" t="str">
        <x:v>360821</x:v>
      </x:c>
      <x:c r="B40" t="str">
        <x:v>吉安县</x:v>
      </x:c>
      <x:c r="C40" t="str">
        <x:v>县</x:v>
      </x:c>
      <x:c r="D40" t="str">
        <x:v>2025</x:v>
      </x:c>
      <x:c r="E40" t="str">
        <x:v>urban_income</x:v>
      </x:c>
      <x:c r="F40" t="n">
        <x:v>46935</x:v>
      </x:c>
      <x:c r="G40" t="str">
        <x:v>元</x:v>
      </x:c>
      <x:c r="H40" t="str"/>
      <x:c r="I40" t="str">
        <x:v>S04</x:v>
      </x:c>
      <x:c r="J40" t="str">
        <x:v>B_转载待官方核</x:v>
      </x:c>
      <x:c r="K40" t="str">
        <x:v>未备份原始网页；依据检索核对</x:v>
      </x:c>
      <x:c r="L40" t="str"/>
      <x:c r="M40" t="str"/>
    </x:row>
    <x:row r="41">
      <x:c r="A41" t="str">
        <x:v>360821</x:v>
      </x:c>
      <x:c r="B41" t="str">
        <x:v>吉安县</x:v>
      </x:c>
      <x:c r="C41" t="str">
        <x:v>县</x:v>
      </x:c>
      <x:c r="D41" t="str">
        <x:v>2025</x:v>
      </x:c>
      <x:c r="E41" t="str">
        <x:v>rural_income</x:v>
      </x:c>
      <x:c r="F41" t="n">
        <x:v>21265</x:v>
      </x:c>
      <x:c r="G41" t="str">
        <x:v>元</x:v>
      </x:c>
      <x:c r="H41" t="str"/>
      <x:c r="I41" t="str">
        <x:v>S04</x:v>
      </x:c>
      <x:c r="J41" t="str">
        <x:v>B_转载待官方核</x:v>
      </x:c>
      <x:c r="K41" t="str">
        <x:v>未备份原始网页；依据检索核对</x:v>
      </x:c>
      <x:c r="L41" t="str"/>
      <x:c r="M41" t="str"/>
    </x:row>
    <x:row r="42">
      <x:c r="A42" t="str">
        <x:v>360735</x:v>
      </x:c>
      <x:c r="B42" t="str">
        <x:v>石城县</x:v>
      </x:c>
      <x:c r="C42" t="str">
        <x:v>县</x:v>
      </x:c>
      <x:c r="D42" t="str">
        <x:v>2025</x:v>
      </x:c>
      <x:c r="E42" t="str">
        <x:v>resident_population_year_end</x:v>
      </x:c>
      <x:c r="F42" t="n">
        <x:v>280500</x:v>
      </x:c>
      <x:c r="G42" t="str">
        <x:v>人</x:v>
      </x:c>
      <x:c r="H42" t="str">
        <x:v>常住</x:v>
      </x:c>
      <x:c r="I42" t="str">
        <x:v>S07</x:v>
      </x:c>
      <x:c r="J42" t="str">
        <x:v>A_政府原文</x:v>
      </x:c>
      <x:c r="K42" t="str">
        <x:v>未备份原始网页；依据检索核对</x:v>
      </x:c>
      <x:c r="L42" t="str"/>
      <x:c r="M42" t="str"/>
    </x:row>
    <x:row r="43">
      <x:c r="A43" t="str">
        <x:v>360735</x:v>
      </x:c>
      <x:c r="B43" t="str">
        <x:v>石城县</x:v>
      </x:c>
      <x:c r="C43" t="str">
        <x:v>县</x:v>
      </x:c>
      <x:c r="D43" t="str">
        <x:v>2025</x:v>
      </x:c>
      <x:c r="E43" t="str">
        <x:v>hukou_population</x:v>
      </x:c>
      <x:c r="F43" t="n">
        <x:v>327427</x:v>
      </x:c>
      <x:c r="G43" t="str">
        <x:v>人</x:v>
      </x:c>
      <x:c r="H43" t="str">
        <x:v>户籍</x:v>
      </x:c>
      <x:c r="I43" t="str">
        <x:v>S07</x:v>
      </x:c>
      <x:c r="J43" t="str">
        <x:v>A_政府原文</x:v>
      </x:c>
      <x:c r="K43" t="str">
        <x:v>未备份原始网页；依据检索核对</x:v>
      </x:c>
      <x:c r="L43" t="str"/>
      <x:c r="M43" t="str"/>
    </x:row>
    <x:row r="44">
      <x:c r="A44" t="str">
        <x:v>360735</x:v>
      </x:c>
      <x:c r="B44" t="str">
        <x:v>石城县</x:v>
      </x:c>
      <x:c r="C44" t="str">
        <x:v>县</x:v>
      </x:c>
      <x:c r="D44" t="str">
        <x:v>2025</x:v>
      </x:c>
      <x:c r="E44" t="str">
        <x:v>hukou_age_60plus</x:v>
      </x:c>
      <x:c r="F44" t="n">
        <x:v>61421</x:v>
      </x:c>
      <x:c r="G44" t="str">
        <x:v>人</x:v>
      </x:c>
      <x:c r="H44" t="str">
        <x:v>户籍</x:v>
      </x:c>
      <x:c r="I44" t="str">
        <x:v>S07</x:v>
      </x:c>
      <x:c r="J44" t="str">
        <x:v>A_政府原文</x:v>
      </x:c>
      <x:c r="K44" t="str">
        <x:v>未备份原始网页；依据检索核对</x:v>
      </x:c>
      <x:c r="L44" t="str"/>
      <x:c r="M44" t="str"/>
    </x:row>
    <x:row r="45">
      <x:c r="A45" t="str">
        <x:v>360735</x:v>
      </x:c>
      <x:c r="B45" t="str">
        <x:v>石城县</x:v>
      </x:c>
      <x:c r="C45" t="str">
        <x:v>县</x:v>
      </x:c>
      <x:c r="D45" t="str">
        <x:v>2025</x:v>
      </x:c>
      <x:c r="E45" t="str">
        <x:v>new_urban_jobs</x:v>
      </x:c>
      <x:c r="F45" t="n">
        <x:v>1410</x:v>
      </x:c>
      <x:c r="G45" t="str">
        <x:v>人</x:v>
      </x:c>
      <x:c r="H45" t="str"/>
      <x:c r="I45" t="str">
        <x:v>S07</x:v>
      </x:c>
      <x:c r="J45" t="str">
        <x:v>A_政府原文</x:v>
      </x:c>
      <x:c r="K45" t="str">
        <x:v>未备份原始网页；依据检索核对</x:v>
      </x:c>
      <x:c r="L45" t="str"/>
      <x:c r="M45" t="str"/>
    </x:row>
    <x:row r="46">
      <x:c r="A46" t="str">
        <x:v>360735</x:v>
      </x:c>
      <x:c r="B46" t="str">
        <x:v>石城县</x:v>
      </x:c>
      <x:c r="C46" t="str">
        <x:v>县</x:v>
      </x:c>
      <x:c r="D46" t="str">
        <x:v>2025</x:v>
      </x:c>
      <x:c r="E46" t="str">
        <x:v>urban_income</x:v>
      </x:c>
      <x:c r="F46" t="n">
        <x:v>37550</x:v>
      </x:c>
      <x:c r="G46" t="str">
        <x:v>元</x:v>
      </x:c>
      <x:c r="H46" t="str">
        <x:v>城镇居民</x:v>
      </x:c>
      <x:c r="I46" t="str">
        <x:v>S07</x:v>
      </x:c>
      <x:c r="J46" t="str">
        <x:v>A_政府原文</x:v>
      </x:c>
      <x:c r="K46" t="str">
        <x:v>未备份原始网页；依据检索核对</x:v>
      </x:c>
      <x:c r="L46" t="str"/>
      <x:c r="M46" t="str"/>
    </x:row>
    <x:row r="47">
      <x:c r="A47" t="str">
        <x:v>360735</x:v>
      </x:c>
      <x:c r="B47" t="str">
        <x:v>石城县</x:v>
      </x:c>
      <x:c r="C47" t="str">
        <x:v>县</x:v>
      </x:c>
      <x:c r="D47" t="str">
        <x:v>2025</x:v>
      </x:c>
      <x:c r="E47" t="str">
        <x:v>rural_income</x:v>
      </x:c>
      <x:c r="F47" t="n">
        <x:v>19075</x:v>
      </x:c>
      <x:c r="G47" t="str">
        <x:v>元</x:v>
      </x:c>
      <x:c r="H47" t="str">
        <x:v>农村居民</x:v>
      </x:c>
      <x:c r="I47" t="str">
        <x:v>S07</x:v>
      </x:c>
      <x:c r="J47" t="str">
        <x:v>A_政府原文</x:v>
      </x:c>
      <x:c r="K47" t="str">
        <x:v>未备份原始网页；依据检索核对</x:v>
      </x:c>
      <x:c r="L47" t="str"/>
      <x:c r="M47" t="str"/>
    </x:row>
    <x:row r="48">
      <x:c r="A48" t="str">
        <x:v>360735</x:v>
      </x:c>
      <x:c r="B48" t="str">
        <x:v>石城县</x:v>
      </x:c>
      <x:c r="C48" t="str">
        <x:v>县</x:v>
      </x:c>
      <x:c r="D48" t="str">
        <x:v>2025</x:v>
      </x:c>
      <x:c r="E48" t="str">
        <x:v>general_public_budget_income</x:v>
      </x:c>
      <x:c r="F48" t="n">
        <x:v>85425</x:v>
      </x:c>
      <x:c r="G48" t="str">
        <x:v>万元</x:v>
      </x:c>
      <x:c r="H48" t="str">
        <x:v>一般公共预算</x:v>
      </x:c>
      <x:c r="I48" t="str">
        <x:v>S07</x:v>
      </x:c>
      <x:c r="J48" t="str">
        <x:v>A_政府原文</x:v>
      </x:c>
      <x:c r="K48" t="str">
        <x:v>未备份原始网页；依据检索核对</x:v>
      </x:c>
      <x:c r="L48" t="str"/>
      <x:c r="M48" t="str"/>
    </x:row>
    <x:row r="49">
      <x:c r="A49" t="str">
        <x:v>360735</x:v>
      </x:c>
      <x:c r="B49" t="str">
        <x:v>石城县</x:v>
      </x:c>
      <x:c r="C49" t="str">
        <x:v>县</x:v>
      </x:c>
      <x:c r="D49" t="str">
        <x:v>2025</x:v>
      </x:c>
      <x:c r="E49" t="str">
        <x:v>general_public_budget_expenditure</x:v>
      </x:c>
      <x:c r="F49" t="n">
        <x:v>295697</x:v>
      </x:c>
      <x:c r="G49" t="str">
        <x:v>万元</x:v>
      </x:c>
      <x:c r="H49" t="str">
        <x:v>一般公共预算</x:v>
      </x:c>
      <x:c r="I49" t="str">
        <x:v>S07</x:v>
      </x:c>
      <x:c r="J49" t="str">
        <x:v>A_政府原文</x:v>
      </x:c>
      <x:c r="K49" t="str">
        <x:v>未备份原始网页；依据检索核对</x:v>
      </x:c>
      <x:c r="L49" t="str"/>
      <x:c r="M49" t="str"/>
    </x:row>
    <x:row r="50">
      <x:c r="A50" t="str">
        <x:v>360735</x:v>
      </x:c>
      <x:c r="B50" t="str">
        <x:v>石城县</x:v>
      </x:c>
      <x:c r="C50" t="str">
        <x:v>县</x:v>
      </x:c>
      <x:c r="D50" t="str">
        <x:v>2025</x:v>
      </x:c>
      <x:c r="E50" t="str">
        <x:v>gdp</x:v>
      </x:c>
      <x:c r="F50" t="n">
        <x:v>120.7736</x:v>
      </x:c>
      <x:c r="G50" t="str">
        <x:v>亿元</x:v>
      </x:c>
      <x:c r="H50" t="str"/>
      <x:c r="I50" t="str">
        <x:v>S07</x:v>
      </x:c>
      <x:c r="J50" t="str">
        <x:v>A_政府原文</x:v>
      </x:c>
      <x:c r="K50" t="str">
        <x:v>未备份原始网页；依据检索核对</x:v>
      </x:c>
      <x:c r="L50" t="str"/>
      <x:c r="M50" t="str"/>
    </x:row>
    <x:row r="51">
      <x:c r="A51" t="str">
        <x:v>360702</x:v>
      </x:c>
      <x:c r="B51" t="str">
        <x:v>章贡区</x:v>
      </x:c>
      <x:c r="C51" t="str">
        <x:v>县</x:v>
      </x:c>
      <x:c r="D51" t="str">
        <x:v>2024</x:v>
      </x:c>
      <x:c r="E51" t="str">
        <x:v>resident_population_year_end</x:v>
      </x:c>
      <x:c r="F51" t="n">
        <x:v>715200</x:v>
      </x:c>
      <x:c r="G51" t="str">
        <x:v>人</x:v>
      </x:c>
      <x:c r="H51" t="str">
        <x:v>常住</x:v>
      </x:c>
      <x:c r="I51" t="str">
        <x:v>S06</x:v>
      </x:c>
      <x:c r="J51" t="str">
        <x:v>A_政府原文</x:v>
      </x:c>
      <x:c r="K51" t="str">
        <x:v>未备份原始网页；依据检索核对</x:v>
      </x:c>
      <x:c r="L51" t="str"/>
      <x:c r="M51" t="str">
        <x:v>表内原单位万人，精度0.01万人</x:v>
      </x:c>
    </x:row>
    <x:row r="52">
      <x:c r="A52" t="str">
        <x:v>360702</x:v>
      </x:c>
      <x:c r="B52" t="str">
        <x:v>章贡区</x:v>
      </x:c>
      <x:c r="C52" t="str">
        <x:v>县</x:v>
      </x:c>
      <x:c r="D52" t="str">
        <x:v>2024</x:v>
      </x:c>
      <x:c r="E52" t="str">
        <x:v>urbanization_rate</x:v>
      </x:c>
      <x:c r="F52" t="n">
        <x:v>90.95</x:v>
      </x:c>
      <x:c r="G52" t="str">
        <x:v>%</x:v>
      </x:c>
      <x:c r="H52" t="str">
        <x:v>常住</x:v>
      </x:c>
      <x:c r="I52" t="str">
        <x:v>S06</x:v>
      </x:c>
      <x:c r="J52" t="str">
        <x:v>A_政府原文</x:v>
      </x:c>
      <x:c r="K52" t="str">
        <x:v>未备份原始网页；依据检索核对</x:v>
      </x:c>
      <x:c r="L52" t="str"/>
      <x:c r="M52" t="str">
        <x:v>官方县区常住人口城镇化率</x:v>
      </x:c>
    </x:row>
    <x:row r="53">
      <x:c r="A53" t="str">
        <x:v>360702</x:v>
      </x:c>
      <x:c r="B53" t="str">
        <x:v>章贡区</x:v>
      </x:c>
      <x:c r="C53" t="str">
        <x:v>县</x:v>
      </x:c>
      <x:c r="D53" t="str">
        <x:v>2025</x:v>
      </x:c>
      <x:c r="E53" t="str">
        <x:v>resident_population_year_end</x:v>
      </x:c>
      <x:c r="F53" t="n">
        <x:v>718000</x:v>
      </x:c>
      <x:c r="G53" t="str">
        <x:v>人</x:v>
      </x:c>
      <x:c r="H53" t="str">
        <x:v>常住</x:v>
      </x:c>
      <x:c r="I53" t="str">
        <x:v>S05</x:v>
      </x:c>
      <x:c r="J53" t="str">
        <x:v>A_政府原文</x:v>
      </x:c>
      <x:c r="K53" t="str">
        <x:v>未备份原始网页；依据检索核对</x:v>
      </x:c>
      <x:c r="L53" t="str"/>
      <x:c r="M53" t="str">
        <x:v>表内原单位万人，精度0.01万人</x:v>
      </x:c>
    </x:row>
    <x:row r="54">
      <x:c r="A54" t="str">
        <x:v>360702</x:v>
      </x:c>
      <x:c r="B54" t="str">
        <x:v>章贡区</x:v>
      </x:c>
      <x:c r="C54" t="str">
        <x:v>县</x:v>
      </x:c>
      <x:c r="D54" t="str">
        <x:v>2025</x:v>
      </x:c>
      <x:c r="E54" t="str">
        <x:v>urbanization_rate</x:v>
      </x:c>
      <x:c r="F54" t="n">
        <x:v>91.47</x:v>
      </x:c>
      <x:c r="G54" t="str">
        <x:v>%</x:v>
      </x:c>
      <x:c r="H54" t="str">
        <x:v>常住</x:v>
      </x:c>
      <x:c r="I54" t="str">
        <x:v>S05</x:v>
      </x:c>
      <x:c r="J54" t="str">
        <x:v>A_政府原文</x:v>
      </x:c>
      <x:c r="K54" t="str">
        <x:v>未备份原始网页；依据检索核对</x:v>
      </x:c>
      <x:c r="L54" t="str"/>
      <x:c r="M54" t="str">
        <x:v>官方县区常住人口城镇化率</x:v>
      </x:c>
    </x:row>
    <x:row r="55">
      <x:c r="A55" t="str">
        <x:v>360703</x:v>
      </x:c>
      <x:c r="B55" t="str">
        <x:v>南康区</x:v>
      </x:c>
      <x:c r="C55" t="str">
        <x:v>县</x:v>
      </x:c>
      <x:c r="D55" t="str">
        <x:v>2024</x:v>
      </x:c>
      <x:c r="E55" t="str">
        <x:v>resident_population_year_end</x:v>
      </x:c>
      <x:c r="F55" t="n">
        <x:v>835200</x:v>
      </x:c>
      <x:c r="G55" t="str">
        <x:v>人</x:v>
      </x:c>
      <x:c r="H55" t="str">
        <x:v>常住</x:v>
      </x:c>
      <x:c r="I55" t="str">
        <x:v>S06</x:v>
      </x:c>
      <x:c r="J55" t="str">
        <x:v>A_政府原文</x:v>
      </x:c>
      <x:c r="K55" t="str">
        <x:v>未备份原始网页；依据检索核对</x:v>
      </x:c>
      <x:c r="L55" t="str"/>
      <x:c r="M55" t="str">
        <x:v>表内原单位万人，精度0.01万人</x:v>
      </x:c>
    </x:row>
    <x:row r="56">
      <x:c r="A56" t="str">
        <x:v>360703</x:v>
      </x:c>
      <x:c r="B56" t="str">
        <x:v>南康区</x:v>
      </x:c>
      <x:c r="C56" t="str">
        <x:v>县</x:v>
      </x:c>
      <x:c r="D56" t="str">
        <x:v>2024</x:v>
      </x:c>
      <x:c r="E56" t="str">
        <x:v>urbanization_rate</x:v>
      </x:c>
      <x:c r="F56" t="n">
        <x:v>62.99</x:v>
      </x:c>
      <x:c r="G56" t="str">
        <x:v>%</x:v>
      </x:c>
      <x:c r="H56" t="str">
        <x:v>常住</x:v>
      </x:c>
      <x:c r="I56" t="str">
        <x:v>S06</x:v>
      </x:c>
      <x:c r="J56" t="str">
        <x:v>A_政府原文</x:v>
      </x:c>
      <x:c r="K56" t="str">
        <x:v>未备份原始网页；依据检索核对</x:v>
      </x:c>
      <x:c r="L56" t="str"/>
      <x:c r="M56" t="str">
        <x:v>官方县区常住人口城镇化率</x:v>
      </x:c>
    </x:row>
    <x:row r="57">
      <x:c r="A57" t="str">
        <x:v>360703</x:v>
      </x:c>
      <x:c r="B57" t="str">
        <x:v>南康区</x:v>
      </x:c>
      <x:c r="C57" t="str">
        <x:v>县</x:v>
      </x:c>
      <x:c r="D57" t="str">
        <x:v>2025</x:v>
      </x:c>
      <x:c r="E57" t="str">
        <x:v>resident_population_year_end</x:v>
      </x:c>
      <x:c r="F57" t="n">
        <x:v>838200</x:v>
      </x:c>
      <x:c r="G57" t="str">
        <x:v>人</x:v>
      </x:c>
      <x:c r="H57" t="str">
        <x:v>常住</x:v>
      </x:c>
      <x:c r="I57" t="str">
        <x:v>S05</x:v>
      </x:c>
      <x:c r="J57" t="str">
        <x:v>A_政府原文</x:v>
      </x:c>
      <x:c r="K57" t="str">
        <x:v>未备份原始网页；依据检索核对</x:v>
      </x:c>
      <x:c r="L57" t="str"/>
      <x:c r="M57" t="str">
        <x:v>表内原单位万人，精度0.01万人</x:v>
      </x:c>
    </x:row>
    <x:row r="58">
      <x:c r="A58" t="str">
        <x:v>360703</x:v>
      </x:c>
      <x:c r="B58" t="str">
        <x:v>南康区</x:v>
      </x:c>
      <x:c r="C58" t="str">
        <x:v>县</x:v>
      </x:c>
      <x:c r="D58" t="str">
        <x:v>2025</x:v>
      </x:c>
      <x:c r="E58" t="str">
        <x:v>urbanization_rate</x:v>
      </x:c>
      <x:c r="F58" t="n">
        <x:v>64.61</x:v>
      </x:c>
      <x:c r="G58" t="str">
        <x:v>%</x:v>
      </x:c>
      <x:c r="H58" t="str">
        <x:v>常住</x:v>
      </x:c>
      <x:c r="I58" t="str">
        <x:v>S05</x:v>
      </x:c>
      <x:c r="J58" t="str">
        <x:v>A_政府原文</x:v>
      </x:c>
      <x:c r="K58" t="str">
        <x:v>未备份原始网页；依据检索核对</x:v>
      </x:c>
      <x:c r="L58" t="str"/>
      <x:c r="M58" t="str">
        <x:v>官方县区常住人口城镇化率</x:v>
      </x:c>
    </x:row>
    <x:row r="59">
      <x:c r="A59" t="str">
        <x:v>360704</x:v>
      </x:c>
      <x:c r="B59" t="str">
        <x:v>赣县区</x:v>
      </x:c>
      <x:c r="C59" t="str">
        <x:v>县</x:v>
      </x:c>
      <x:c r="D59" t="str">
        <x:v>2024</x:v>
      </x:c>
      <x:c r="E59" t="str">
        <x:v>resident_population_year_end</x:v>
      </x:c>
      <x:c r="F59" t="n">
        <x:v>575900</x:v>
      </x:c>
      <x:c r="G59" t="str">
        <x:v>人</x:v>
      </x:c>
      <x:c r="H59" t="str">
        <x:v>常住</x:v>
      </x:c>
      <x:c r="I59" t="str">
        <x:v>S06</x:v>
      </x:c>
      <x:c r="J59" t="str">
        <x:v>A_政府原文</x:v>
      </x:c>
      <x:c r="K59" t="str">
        <x:v>未备份原始网页；依据检索核对</x:v>
      </x:c>
      <x:c r="L59" t="str"/>
      <x:c r="M59" t="str">
        <x:v>表内原单位万人，精度0.01万人</x:v>
      </x:c>
    </x:row>
    <x:row r="60">
      <x:c r="A60" t="str">
        <x:v>360704</x:v>
      </x:c>
      <x:c r="B60" t="str">
        <x:v>赣县区</x:v>
      </x:c>
      <x:c r="C60" t="str">
        <x:v>县</x:v>
      </x:c>
      <x:c r="D60" t="str">
        <x:v>2024</x:v>
      </x:c>
      <x:c r="E60" t="str">
        <x:v>urbanization_rate</x:v>
      </x:c>
      <x:c r="F60" t="n">
        <x:v>57.24</x:v>
      </x:c>
      <x:c r="G60" t="str">
        <x:v>%</x:v>
      </x:c>
      <x:c r="H60" t="str">
        <x:v>常住</x:v>
      </x:c>
      <x:c r="I60" t="str">
        <x:v>S06</x:v>
      </x:c>
      <x:c r="J60" t="str">
        <x:v>A_政府原文</x:v>
      </x:c>
      <x:c r="K60" t="str">
        <x:v>未备份原始网页；依据检索核对</x:v>
      </x:c>
      <x:c r="L60" t="str"/>
      <x:c r="M60" t="str">
        <x:v>官方县区常住人口城镇化率</x:v>
      </x:c>
    </x:row>
    <x:row r="61">
      <x:c r="A61" t="str">
        <x:v>360704</x:v>
      </x:c>
      <x:c r="B61" t="str">
        <x:v>赣县区</x:v>
      </x:c>
      <x:c r="C61" t="str">
        <x:v>县</x:v>
      </x:c>
      <x:c r="D61" t="str">
        <x:v>2025</x:v>
      </x:c>
      <x:c r="E61" t="str">
        <x:v>resident_population_year_end</x:v>
      </x:c>
      <x:c r="F61" t="n">
        <x:v>573400</x:v>
      </x:c>
      <x:c r="G61" t="str">
        <x:v>人</x:v>
      </x:c>
      <x:c r="H61" t="str">
        <x:v>常住</x:v>
      </x:c>
      <x:c r="I61" t="str">
        <x:v>S05</x:v>
      </x:c>
      <x:c r="J61" t="str">
        <x:v>A_政府原文</x:v>
      </x:c>
      <x:c r="K61" t="str">
        <x:v>未备份原始网页；依据检索核对</x:v>
      </x:c>
      <x:c r="L61" t="str"/>
      <x:c r="M61" t="str">
        <x:v>表内原单位万人，精度0.01万人</x:v>
      </x:c>
    </x:row>
    <x:row r="62">
      <x:c r="A62" t="str">
        <x:v>360704</x:v>
      </x:c>
      <x:c r="B62" t="str">
        <x:v>赣县区</x:v>
      </x:c>
      <x:c r="C62" t="str">
        <x:v>县</x:v>
      </x:c>
      <x:c r="D62" t="str">
        <x:v>2025</x:v>
      </x:c>
      <x:c r="E62" t="str">
        <x:v>urbanization_rate</x:v>
      </x:c>
      <x:c r="F62" t="n">
        <x:v>58.48</x:v>
      </x:c>
      <x:c r="G62" t="str">
        <x:v>%</x:v>
      </x:c>
      <x:c r="H62" t="str">
        <x:v>常住</x:v>
      </x:c>
      <x:c r="I62" t="str">
        <x:v>S05</x:v>
      </x:c>
      <x:c r="J62" t="str">
        <x:v>A_政府原文</x:v>
      </x:c>
      <x:c r="K62" t="str">
        <x:v>未备份原始网页；依据检索核对</x:v>
      </x:c>
      <x:c r="L62" t="str"/>
      <x:c r="M62" t="str">
        <x:v>官方县区常住人口城镇化率</x:v>
      </x:c>
    </x:row>
    <x:row r="63">
      <x:c r="A63" t="str">
        <x:v>360722</x:v>
      </x:c>
      <x:c r="B63" t="str">
        <x:v>信丰县</x:v>
      </x:c>
      <x:c r="C63" t="str">
        <x:v>县</x:v>
      </x:c>
      <x:c r="D63" t="str">
        <x:v>2024</x:v>
      </x:c>
      <x:c r="E63" t="str">
        <x:v>resident_population_year_end</x:v>
      </x:c>
      <x:c r="F63" t="n">
        <x:v>672300</x:v>
      </x:c>
      <x:c r="G63" t="str">
        <x:v>人</x:v>
      </x:c>
      <x:c r="H63" t="str">
        <x:v>常住</x:v>
      </x:c>
      <x:c r="I63" t="str">
        <x:v>S06</x:v>
      </x:c>
      <x:c r="J63" t="str">
        <x:v>A_政府原文</x:v>
      </x:c>
      <x:c r="K63" t="str">
        <x:v>未备份原始网页；依据检索核对</x:v>
      </x:c>
      <x:c r="L63" t="str"/>
      <x:c r="M63" t="str">
        <x:v>表内原单位万人，精度0.01万人</x:v>
      </x:c>
    </x:row>
    <x:row r="64">
      <x:c r="A64" t="str">
        <x:v>360722</x:v>
      </x:c>
      <x:c r="B64" t="str">
        <x:v>信丰县</x:v>
      </x:c>
      <x:c r="C64" t="str">
        <x:v>县</x:v>
      </x:c>
      <x:c r="D64" t="str">
        <x:v>2024</x:v>
      </x:c>
      <x:c r="E64" t="str">
        <x:v>urbanization_rate</x:v>
      </x:c>
      <x:c r="F64" t="n">
        <x:v>56.01</x:v>
      </x:c>
      <x:c r="G64" t="str">
        <x:v>%</x:v>
      </x:c>
      <x:c r="H64" t="str">
        <x:v>常住</x:v>
      </x:c>
      <x:c r="I64" t="str">
        <x:v>S06</x:v>
      </x:c>
      <x:c r="J64" t="str">
        <x:v>A_政府原文</x:v>
      </x:c>
      <x:c r="K64" t="str">
        <x:v>未备份原始网页；依据检索核对</x:v>
      </x:c>
      <x:c r="L64" t="str"/>
      <x:c r="M64" t="str">
        <x:v>官方县区常住人口城镇化率</x:v>
      </x:c>
    </x:row>
    <x:row r="65">
      <x:c r="A65" t="str">
        <x:v>360722</x:v>
      </x:c>
      <x:c r="B65" t="str">
        <x:v>信丰县</x:v>
      </x:c>
      <x:c r="C65" t="str">
        <x:v>县</x:v>
      </x:c>
      <x:c r="D65" t="str">
        <x:v>2025</x:v>
      </x:c>
      <x:c r="E65" t="str">
        <x:v>resident_population_year_end</x:v>
      </x:c>
      <x:c r="F65" t="n">
        <x:v>672400</x:v>
      </x:c>
      <x:c r="G65" t="str">
        <x:v>人</x:v>
      </x:c>
      <x:c r="H65" t="str">
        <x:v>常住</x:v>
      </x:c>
      <x:c r="I65" t="str">
        <x:v>S05</x:v>
      </x:c>
      <x:c r="J65" t="str">
        <x:v>A_政府原文</x:v>
      </x:c>
      <x:c r="K65" t="str">
        <x:v>未备份原始网页；依据检索核对</x:v>
      </x:c>
      <x:c r="L65" t="str"/>
      <x:c r="M65" t="str">
        <x:v>表内原单位万人，精度0.01万人</x:v>
      </x:c>
    </x:row>
    <x:row r="66">
      <x:c r="A66" t="str">
        <x:v>360722</x:v>
      </x:c>
      <x:c r="B66" t="str">
        <x:v>信丰县</x:v>
      </x:c>
      <x:c r="C66" t="str">
        <x:v>县</x:v>
      </x:c>
      <x:c r="D66" t="str">
        <x:v>2025</x:v>
      </x:c>
      <x:c r="E66" t="str">
        <x:v>urbanization_rate</x:v>
      </x:c>
      <x:c r="F66" t="n">
        <x:v>57.52</x:v>
      </x:c>
      <x:c r="G66" t="str">
        <x:v>%</x:v>
      </x:c>
      <x:c r="H66" t="str">
        <x:v>常住</x:v>
      </x:c>
      <x:c r="I66" t="str">
        <x:v>S05</x:v>
      </x:c>
      <x:c r="J66" t="str">
        <x:v>A_政府原文</x:v>
      </x:c>
      <x:c r="K66" t="str">
        <x:v>未备份原始网页；依据检索核对</x:v>
      </x:c>
      <x:c r="L66" t="str"/>
      <x:c r="M66" t="str">
        <x:v>官方县区常住人口城镇化率</x:v>
      </x:c>
    </x:row>
    <x:row r="67">
      <x:c r="A67" t="str">
        <x:v>360723</x:v>
      </x:c>
      <x:c r="B67" t="str">
        <x:v>大余县</x:v>
      </x:c>
      <x:c r="C67" t="str">
        <x:v>县</x:v>
      </x:c>
      <x:c r="D67" t="str">
        <x:v>2024</x:v>
      </x:c>
      <x:c r="E67" t="str">
        <x:v>resident_population_year_end</x:v>
      </x:c>
      <x:c r="F67" t="n">
        <x:v>261300</x:v>
      </x:c>
      <x:c r="G67" t="str">
        <x:v>人</x:v>
      </x:c>
      <x:c r="H67" t="str">
        <x:v>常住</x:v>
      </x:c>
      <x:c r="I67" t="str">
        <x:v>S06</x:v>
      </x:c>
      <x:c r="J67" t="str">
        <x:v>A_政府原文</x:v>
      </x:c>
      <x:c r="K67" t="str">
        <x:v>未备份原始网页；依据检索核对</x:v>
      </x:c>
      <x:c r="L67" t="str"/>
      <x:c r="M67" t="str">
        <x:v>表内原单位万人，精度0.01万人</x:v>
      </x:c>
    </x:row>
    <x:row r="68">
      <x:c r="A68" t="str">
        <x:v>360723</x:v>
      </x:c>
      <x:c r="B68" t="str">
        <x:v>大余县</x:v>
      </x:c>
      <x:c r="C68" t="str">
        <x:v>县</x:v>
      </x:c>
      <x:c r="D68" t="str">
        <x:v>2024</x:v>
      </x:c>
      <x:c r="E68" t="str">
        <x:v>urbanization_rate</x:v>
      </x:c>
      <x:c r="F68" t="n">
        <x:v>57.04</x:v>
      </x:c>
      <x:c r="G68" t="str">
        <x:v>%</x:v>
      </x:c>
      <x:c r="H68" t="str">
        <x:v>常住</x:v>
      </x:c>
      <x:c r="I68" t="str">
        <x:v>S06</x:v>
      </x:c>
      <x:c r="J68" t="str">
        <x:v>A_政府原文</x:v>
      </x:c>
      <x:c r="K68" t="str">
        <x:v>未备份原始网页；依据检索核对</x:v>
      </x:c>
      <x:c r="L68" t="str"/>
      <x:c r="M68" t="str">
        <x:v>官方县区常住人口城镇化率</x:v>
      </x:c>
    </x:row>
    <x:row r="69">
      <x:c r="A69" t="str">
        <x:v>360723</x:v>
      </x:c>
      <x:c r="B69" t="str">
        <x:v>大余县</x:v>
      </x:c>
      <x:c r="C69" t="str">
        <x:v>县</x:v>
      </x:c>
      <x:c r="D69" t="str">
        <x:v>2025</x:v>
      </x:c>
      <x:c r="E69" t="str">
        <x:v>resident_population_year_end</x:v>
      </x:c>
      <x:c r="F69" t="n">
        <x:v>260700</x:v>
      </x:c>
      <x:c r="G69" t="str">
        <x:v>人</x:v>
      </x:c>
      <x:c r="H69" t="str">
        <x:v>常住</x:v>
      </x:c>
      <x:c r="I69" t="str">
        <x:v>S05</x:v>
      </x:c>
      <x:c r="J69" t="str">
        <x:v>A_政府原文</x:v>
      </x:c>
      <x:c r="K69" t="str">
        <x:v>未备份原始网页；依据检索核对</x:v>
      </x:c>
      <x:c r="L69" t="str"/>
      <x:c r="M69" t="str">
        <x:v>表内原单位万人，精度0.01万人</x:v>
      </x:c>
    </x:row>
    <x:row r="70">
      <x:c r="A70" t="str">
        <x:v>360723</x:v>
      </x:c>
      <x:c r="B70" t="str">
        <x:v>大余县</x:v>
      </x:c>
      <x:c r="C70" t="str">
        <x:v>县</x:v>
      </x:c>
      <x:c r="D70" t="str">
        <x:v>2025</x:v>
      </x:c>
      <x:c r="E70" t="str">
        <x:v>urbanization_rate</x:v>
      </x:c>
      <x:c r="F70" t="n">
        <x:v>58.48</x:v>
      </x:c>
      <x:c r="G70" t="str">
        <x:v>%</x:v>
      </x:c>
      <x:c r="H70" t="str">
        <x:v>常住</x:v>
      </x:c>
      <x:c r="I70" t="str">
        <x:v>S05</x:v>
      </x:c>
      <x:c r="J70" t="str">
        <x:v>A_政府原文</x:v>
      </x:c>
      <x:c r="K70" t="str">
        <x:v>未备份原始网页；依据检索核对</x:v>
      </x:c>
      <x:c r="L70" t="str"/>
      <x:c r="M70" t="str">
        <x:v>官方县区常住人口城镇化率</x:v>
      </x:c>
    </x:row>
    <x:row r="71">
      <x:c r="A71" t="str">
        <x:v>360724</x:v>
      </x:c>
      <x:c r="B71" t="str">
        <x:v>上犹县</x:v>
      </x:c>
      <x:c r="C71" t="str">
        <x:v>县</x:v>
      </x:c>
      <x:c r="D71" t="str">
        <x:v>2024</x:v>
      </x:c>
      <x:c r="E71" t="str">
        <x:v>resident_population_year_end</x:v>
      </x:c>
      <x:c r="F71" t="n">
        <x:v>266900</x:v>
      </x:c>
      <x:c r="G71" t="str">
        <x:v>人</x:v>
      </x:c>
      <x:c r="H71" t="str">
        <x:v>常住</x:v>
      </x:c>
      <x:c r="I71" t="str">
        <x:v>S06</x:v>
      </x:c>
      <x:c r="J71" t="str">
        <x:v>A_政府原文</x:v>
      </x:c>
      <x:c r="K71" t="str">
        <x:v>未备份原始网页；依据检索核对</x:v>
      </x:c>
      <x:c r="L71" t="str"/>
      <x:c r="M71" t="str">
        <x:v>表内原单位万人，精度0.01万人</x:v>
      </x:c>
    </x:row>
    <x:row r="72">
      <x:c r="A72" t="str">
        <x:v>360724</x:v>
      </x:c>
      <x:c r="B72" t="str">
        <x:v>上犹县</x:v>
      </x:c>
      <x:c r="C72" t="str">
        <x:v>县</x:v>
      </x:c>
      <x:c r="D72" t="str">
        <x:v>2024</x:v>
      </x:c>
      <x:c r="E72" t="str">
        <x:v>urbanization_rate</x:v>
      </x:c>
      <x:c r="F72" t="n">
        <x:v>51.97</x:v>
      </x:c>
      <x:c r="G72" t="str">
        <x:v>%</x:v>
      </x:c>
      <x:c r="H72" t="str">
        <x:v>常住</x:v>
      </x:c>
      <x:c r="I72" t="str">
        <x:v>S06</x:v>
      </x:c>
      <x:c r="J72" t="str">
        <x:v>A_政府原文</x:v>
      </x:c>
      <x:c r="K72" t="str">
        <x:v>未备份原始网页；依据检索核对</x:v>
      </x:c>
      <x:c r="L72" t="str"/>
      <x:c r="M72" t="str">
        <x:v>官方县区常住人口城镇化率</x:v>
      </x:c>
    </x:row>
    <x:row r="73">
      <x:c r="A73" t="str">
        <x:v>360724</x:v>
      </x:c>
      <x:c r="B73" t="str">
        <x:v>上犹县</x:v>
      </x:c>
      <x:c r="C73" t="str">
        <x:v>县</x:v>
      </x:c>
      <x:c r="D73" t="str">
        <x:v>2025</x:v>
      </x:c>
      <x:c r="E73" t="str">
        <x:v>resident_population_year_end</x:v>
      </x:c>
      <x:c r="F73" t="n">
        <x:v>265700</x:v>
      </x:c>
      <x:c r="G73" t="str">
        <x:v>人</x:v>
      </x:c>
      <x:c r="H73" t="str">
        <x:v>常住</x:v>
      </x:c>
      <x:c r="I73" t="str">
        <x:v>S05</x:v>
      </x:c>
      <x:c r="J73" t="str">
        <x:v>A_政府原文</x:v>
      </x:c>
      <x:c r="K73" t="str">
        <x:v>未备份原始网页；依据检索核对</x:v>
      </x:c>
      <x:c r="L73" t="str"/>
      <x:c r="M73" t="str">
        <x:v>表内原单位万人，精度0.01万人</x:v>
      </x:c>
    </x:row>
    <x:row r="74">
      <x:c r="A74" t="str">
        <x:v>360724</x:v>
      </x:c>
      <x:c r="B74" t="str">
        <x:v>上犹县</x:v>
      </x:c>
      <x:c r="C74" t="str">
        <x:v>县</x:v>
      </x:c>
      <x:c r="D74" t="str">
        <x:v>2025</x:v>
      </x:c>
      <x:c r="E74" t="str">
        <x:v>urbanization_rate</x:v>
      </x:c>
      <x:c r="F74" t="n">
        <x:v>53.44</x:v>
      </x:c>
      <x:c r="G74" t="str">
        <x:v>%</x:v>
      </x:c>
      <x:c r="H74" t="str">
        <x:v>常住</x:v>
      </x:c>
      <x:c r="I74" t="str">
        <x:v>S05</x:v>
      </x:c>
      <x:c r="J74" t="str">
        <x:v>A_政府原文</x:v>
      </x:c>
      <x:c r="K74" t="str">
        <x:v>未备份原始网页；依据检索核对</x:v>
      </x:c>
      <x:c r="L74" t="str"/>
      <x:c r="M74" t="str">
        <x:v>官方县区常住人口城镇化率</x:v>
      </x:c>
    </x:row>
    <x:row r="75">
      <x:c r="A75" t="str">
        <x:v>360725</x:v>
      </x:c>
      <x:c r="B75" t="str">
        <x:v>崇义县</x:v>
      </x:c>
      <x:c r="C75" t="str">
        <x:v>县</x:v>
      </x:c>
      <x:c r="D75" t="str">
        <x:v>2024</x:v>
      </x:c>
      <x:c r="E75" t="str">
        <x:v>resident_population_year_end</x:v>
      </x:c>
      <x:c r="F75" t="n">
        <x:v>176300</x:v>
      </x:c>
      <x:c r="G75" t="str">
        <x:v>人</x:v>
      </x:c>
      <x:c r="H75" t="str">
        <x:v>常住</x:v>
      </x:c>
      <x:c r="I75" t="str">
        <x:v>S06</x:v>
      </x:c>
      <x:c r="J75" t="str">
        <x:v>A_政府原文</x:v>
      </x:c>
      <x:c r="K75" t="str">
        <x:v>未备份原始网页；依据检索核对</x:v>
      </x:c>
      <x:c r="L75" t="str"/>
      <x:c r="M75" t="str">
        <x:v>表内原单位万人，精度0.01万人</x:v>
      </x:c>
    </x:row>
    <x:row r="76">
      <x:c r="A76" t="str">
        <x:v>360725</x:v>
      </x:c>
      <x:c r="B76" t="str">
        <x:v>崇义县</x:v>
      </x:c>
      <x:c r="C76" t="str">
        <x:v>县</x:v>
      </x:c>
      <x:c r="D76" t="str">
        <x:v>2024</x:v>
      </x:c>
      <x:c r="E76" t="str">
        <x:v>urbanization_rate</x:v>
      </x:c>
      <x:c r="F76" t="n">
        <x:v>50.42</x:v>
      </x:c>
      <x:c r="G76" t="str">
        <x:v>%</x:v>
      </x:c>
      <x:c r="H76" t="str">
        <x:v>常住</x:v>
      </x:c>
      <x:c r="I76" t="str">
        <x:v>S06</x:v>
      </x:c>
      <x:c r="J76" t="str">
        <x:v>A_政府原文</x:v>
      </x:c>
      <x:c r="K76" t="str">
        <x:v>未备份原始网页；依据检索核对</x:v>
      </x:c>
      <x:c r="L76" t="str"/>
      <x:c r="M76" t="str">
        <x:v>官方县区常住人口城镇化率</x:v>
      </x:c>
    </x:row>
    <x:row r="77">
      <x:c r="A77" t="str">
        <x:v>360725</x:v>
      </x:c>
      <x:c r="B77" t="str">
        <x:v>崇义县</x:v>
      </x:c>
      <x:c r="C77" t="str">
        <x:v>县</x:v>
      </x:c>
      <x:c r="D77" t="str">
        <x:v>2025</x:v>
      </x:c>
      <x:c r="E77" t="str">
        <x:v>resident_population_year_end</x:v>
      </x:c>
      <x:c r="F77" t="n">
        <x:v>175700</x:v>
      </x:c>
      <x:c r="G77" t="str">
        <x:v>人</x:v>
      </x:c>
      <x:c r="H77" t="str">
        <x:v>常住</x:v>
      </x:c>
      <x:c r="I77" t="str">
        <x:v>S05</x:v>
      </x:c>
      <x:c r="J77" t="str">
        <x:v>A_政府原文</x:v>
      </x:c>
      <x:c r="K77" t="str">
        <x:v>未备份原始网页；依据检索核对</x:v>
      </x:c>
      <x:c r="L77" t="str"/>
      <x:c r="M77" t="str">
        <x:v>表内原单位万人，精度0.01万人</x:v>
      </x:c>
    </x:row>
    <x:row r="78">
      <x:c r="A78" t="str">
        <x:v>360725</x:v>
      </x:c>
      <x:c r="B78" t="str">
        <x:v>崇义县</x:v>
      </x:c>
      <x:c r="C78" t="str">
        <x:v>县</x:v>
      </x:c>
      <x:c r="D78" t="str">
        <x:v>2025</x:v>
      </x:c>
      <x:c r="E78" t="str">
        <x:v>urbanization_rate</x:v>
      </x:c>
      <x:c r="F78" t="n">
        <x:v>51.79</x:v>
      </x:c>
      <x:c r="G78" t="str">
        <x:v>%</x:v>
      </x:c>
      <x:c r="H78" t="str">
        <x:v>常住</x:v>
      </x:c>
      <x:c r="I78" t="str">
        <x:v>S05</x:v>
      </x:c>
      <x:c r="J78" t="str">
        <x:v>A_政府原文</x:v>
      </x:c>
      <x:c r="K78" t="str">
        <x:v>未备份原始网页；依据检索核对</x:v>
      </x:c>
      <x:c r="L78" t="str"/>
      <x:c r="M78" t="str">
        <x:v>官方县区常住人口城镇化率</x:v>
      </x:c>
    </x:row>
    <x:row r="79">
      <x:c r="A79" t="str">
        <x:v>360726</x:v>
      </x:c>
      <x:c r="B79" t="str">
        <x:v>安远县</x:v>
      </x:c>
      <x:c r="C79" t="str">
        <x:v>县</x:v>
      </x:c>
      <x:c r="D79" t="str">
        <x:v>2024</x:v>
      </x:c>
      <x:c r="E79" t="str">
        <x:v>resident_population_year_end</x:v>
      </x:c>
      <x:c r="F79" t="n">
        <x:v>343300</x:v>
      </x:c>
      <x:c r="G79" t="str">
        <x:v>人</x:v>
      </x:c>
      <x:c r="H79" t="str">
        <x:v>常住</x:v>
      </x:c>
      <x:c r="I79" t="str">
        <x:v>S06</x:v>
      </x:c>
      <x:c r="J79" t="str">
        <x:v>A_政府原文</x:v>
      </x:c>
      <x:c r="K79" t="str">
        <x:v>未备份原始网页；依据检索核对</x:v>
      </x:c>
      <x:c r="L79" t="str"/>
      <x:c r="M79" t="str">
        <x:v>表内原单位万人，精度0.01万人</x:v>
      </x:c>
    </x:row>
    <x:row r="80">
      <x:c r="A80" t="str">
        <x:v>360726</x:v>
      </x:c>
      <x:c r="B80" t="str">
        <x:v>安远县</x:v>
      </x:c>
      <x:c r="C80" t="str">
        <x:v>县</x:v>
      </x:c>
      <x:c r="D80" t="str">
        <x:v>2024</x:v>
      </x:c>
      <x:c r="E80" t="str">
        <x:v>urbanization_rate</x:v>
      </x:c>
      <x:c r="F80" t="n">
        <x:v>49.92</x:v>
      </x:c>
      <x:c r="G80" t="str">
        <x:v>%</x:v>
      </x:c>
      <x:c r="H80" t="str">
        <x:v>常住</x:v>
      </x:c>
      <x:c r="I80" t="str">
        <x:v>S06</x:v>
      </x:c>
      <x:c r="J80" t="str">
        <x:v>A_政府原文</x:v>
      </x:c>
      <x:c r="K80" t="str">
        <x:v>未备份原始网页；依据检索核对</x:v>
      </x:c>
      <x:c r="L80" t="str"/>
      <x:c r="M80" t="str">
        <x:v>官方县区常住人口城镇化率</x:v>
      </x:c>
    </x:row>
    <x:row r="81">
      <x:c r="A81" t="str">
        <x:v>360726</x:v>
      </x:c>
      <x:c r="B81" t="str">
        <x:v>安远县</x:v>
      </x:c>
      <x:c r="C81" t="str">
        <x:v>县</x:v>
      </x:c>
      <x:c r="D81" t="str">
        <x:v>2025</x:v>
      </x:c>
      <x:c r="E81" t="str">
        <x:v>resident_population_year_end</x:v>
      </x:c>
      <x:c r="F81" t="n">
        <x:v>342200</x:v>
      </x:c>
      <x:c r="G81" t="str">
        <x:v>人</x:v>
      </x:c>
      <x:c r="H81" t="str">
        <x:v>常住</x:v>
      </x:c>
      <x:c r="I81" t="str">
        <x:v>S05</x:v>
      </x:c>
      <x:c r="J81" t="str">
        <x:v>A_政府原文</x:v>
      </x:c>
      <x:c r="K81" t="str">
        <x:v>未备份原始网页；依据检索核对</x:v>
      </x:c>
      <x:c r="L81" t="str"/>
      <x:c r="M81" t="str">
        <x:v>表内原单位万人，精度0.01万人</x:v>
      </x:c>
    </x:row>
    <x:row r="82">
      <x:c r="A82" t="str">
        <x:v>360726</x:v>
      </x:c>
      <x:c r="B82" t="str">
        <x:v>安远县</x:v>
      </x:c>
      <x:c r="C82" t="str">
        <x:v>县</x:v>
      </x:c>
      <x:c r="D82" t="str">
        <x:v>2025</x:v>
      </x:c>
      <x:c r="E82" t="str">
        <x:v>urbanization_rate</x:v>
      </x:c>
      <x:c r="F82" t="n">
        <x:v>51.51</x:v>
      </x:c>
      <x:c r="G82" t="str">
        <x:v>%</x:v>
      </x:c>
      <x:c r="H82" t="str">
        <x:v>常住</x:v>
      </x:c>
      <x:c r="I82" t="str">
        <x:v>S05</x:v>
      </x:c>
      <x:c r="J82" t="str">
        <x:v>A_政府原文</x:v>
      </x:c>
      <x:c r="K82" t="str">
        <x:v>未备份原始网页；依据检索核对</x:v>
      </x:c>
      <x:c r="L82" t="str"/>
      <x:c r="M82" t="str">
        <x:v>官方县区常住人口城镇化率</x:v>
      </x:c>
    </x:row>
    <x:row r="83">
      <x:c r="A83" t="str">
        <x:v>360728</x:v>
      </x:c>
      <x:c r="B83" t="str">
        <x:v>定南县</x:v>
      </x:c>
      <x:c r="C83" t="str">
        <x:v>县</x:v>
      </x:c>
      <x:c r="D83" t="str">
        <x:v>2024</x:v>
      </x:c>
      <x:c r="E83" t="str">
        <x:v>resident_population_year_end</x:v>
      </x:c>
      <x:c r="F83" t="n">
        <x:v>208500</x:v>
      </x:c>
      <x:c r="G83" t="str">
        <x:v>人</x:v>
      </x:c>
      <x:c r="H83" t="str">
        <x:v>常住</x:v>
      </x:c>
      <x:c r="I83" t="str">
        <x:v>S06</x:v>
      </x:c>
      <x:c r="J83" t="str">
        <x:v>A_政府原文</x:v>
      </x:c>
      <x:c r="K83" t="str">
        <x:v>未备份原始网页；依据检索核对</x:v>
      </x:c>
      <x:c r="L83" t="str"/>
      <x:c r="M83" t="str">
        <x:v>表内原单位万人，精度0.01万人</x:v>
      </x:c>
    </x:row>
    <x:row r="84">
      <x:c r="A84" t="str">
        <x:v>360728</x:v>
      </x:c>
      <x:c r="B84" t="str">
        <x:v>定南县</x:v>
      </x:c>
      <x:c r="C84" t="str">
        <x:v>县</x:v>
      </x:c>
      <x:c r="D84" t="str">
        <x:v>2024</x:v>
      </x:c>
      <x:c r="E84" t="str">
        <x:v>urbanization_rate</x:v>
      </x:c>
      <x:c r="F84" t="n">
        <x:v>66.9</x:v>
      </x:c>
      <x:c r="G84" t="str">
        <x:v>%</x:v>
      </x:c>
      <x:c r="H84" t="str">
        <x:v>常住</x:v>
      </x:c>
      <x:c r="I84" t="str">
        <x:v>S06</x:v>
      </x:c>
      <x:c r="J84" t="str">
        <x:v>A_政府原文</x:v>
      </x:c>
      <x:c r="K84" t="str">
        <x:v>未备份原始网页；依据检索核对</x:v>
      </x:c>
      <x:c r="L84" t="str"/>
      <x:c r="M84" t="str">
        <x:v>官方县区常住人口城镇化率</x:v>
      </x:c>
    </x:row>
    <x:row r="85">
      <x:c r="A85" t="str">
        <x:v>360728</x:v>
      </x:c>
      <x:c r="B85" t="str">
        <x:v>定南县</x:v>
      </x:c>
      <x:c r="C85" t="str">
        <x:v>县</x:v>
      </x:c>
      <x:c r="D85" t="str">
        <x:v>2025</x:v>
      </x:c>
      <x:c r="E85" t="str">
        <x:v>resident_population_year_end</x:v>
      </x:c>
      <x:c r="F85" t="n">
        <x:v>209700</x:v>
      </x:c>
      <x:c r="G85" t="str">
        <x:v>人</x:v>
      </x:c>
      <x:c r="H85" t="str">
        <x:v>常住</x:v>
      </x:c>
      <x:c r="I85" t="str">
        <x:v>S05</x:v>
      </x:c>
      <x:c r="J85" t="str">
        <x:v>A_政府原文</x:v>
      </x:c>
      <x:c r="K85" t="str">
        <x:v>未备份原始网页；依据检索核对</x:v>
      </x:c>
      <x:c r="L85" t="str"/>
      <x:c r="M85" t="str">
        <x:v>表内原单位万人，精度0.01万人</x:v>
      </x:c>
    </x:row>
    <x:row r="86">
      <x:c r="A86" t="str">
        <x:v>360728</x:v>
      </x:c>
      <x:c r="B86" t="str">
        <x:v>定南县</x:v>
      </x:c>
      <x:c r="C86" t="str">
        <x:v>县</x:v>
      </x:c>
      <x:c r="D86" t="str">
        <x:v>2025</x:v>
      </x:c>
      <x:c r="E86" t="str">
        <x:v>urbanization_rate</x:v>
      </x:c>
      <x:c r="F86" t="n">
        <x:v>68.13</x:v>
      </x:c>
      <x:c r="G86" t="str">
        <x:v>%</x:v>
      </x:c>
      <x:c r="H86" t="str">
        <x:v>常住</x:v>
      </x:c>
      <x:c r="I86" t="str">
        <x:v>S05</x:v>
      </x:c>
      <x:c r="J86" t="str">
        <x:v>A_政府原文</x:v>
      </x:c>
      <x:c r="K86" t="str">
        <x:v>未备份原始网页；依据检索核对</x:v>
      </x:c>
      <x:c r="L86" t="str"/>
      <x:c r="M86" t="str">
        <x:v>官方县区常住人口城镇化率</x:v>
      </x:c>
    </x:row>
    <x:row r="87">
      <x:c r="A87" t="str">
        <x:v>360729</x:v>
      </x:c>
      <x:c r="B87" t="str">
        <x:v>全南县</x:v>
      </x:c>
      <x:c r="C87" t="str">
        <x:v>县</x:v>
      </x:c>
      <x:c r="D87" t="str">
        <x:v>2024</x:v>
      </x:c>
      <x:c r="E87" t="str">
        <x:v>resident_population_year_end</x:v>
      </x:c>
      <x:c r="F87" t="n">
        <x:v>168100</x:v>
      </x:c>
      <x:c r="G87" t="str">
        <x:v>人</x:v>
      </x:c>
      <x:c r="H87" t="str">
        <x:v>常住</x:v>
      </x:c>
      <x:c r="I87" t="str">
        <x:v>S06</x:v>
      </x:c>
      <x:c r="J87" t="str">
        <x:v>A_政府原文</x:v>
      </x:c>
      <x:c r="K87" t="str">
        <x:v>未备份原始网页；依据检索核对</x:v>
      </x:c>
      <x:c r="L87" t="str"/>
      <x:c r="M87" t="str">
        <x:v>表内原单位万人，精度0.01万人</x:v>
      </x:c>
    </x:row>
    <x:row r="88">
      <x:c r="A88" t="str">
        <x:v>360729</x:v>
      </x:c>
      <x:c r="B88" t="str">
        <x:v>全南县</x:v>
      </x:c>
      <x:c r="C88" t="str">
        <x:v>县</x:v>
      </x:c>
      <x:c r="D88" t="str">
        <x:v>2024</x:v>
      </x:c>
      <x:c r="E88" t="str">
        <x:v>urbanization_rate</x:v>
      </x:c>
      <x:c r="F88" t="n">
        <x:v>58.16</x:v>
      </x:c>
      <x:c r="G88" t="str">
        <x:v>%</x:v>
      </x:c>
      <x:c r="H88" t="str">
        <x:v>常住</x:v>
      </x:c>
      <x:c r="I88" t="str">
        <x:v>S06</x:v>
      </x:c>
      <x:c r="J88" t="str">
        <x:v>A_政府原文</x:v>
      </x:c>
      <x:c r="K88" t="str">
        <x:v>未备份原始网页；依据检索核对</x:v>
      </x:c>
      <x:c r="L88" t="str"/>
      <x:c r="M88" t="str">
        <x:v>官方县区常住人口城镇化率</x:v>
      </x:c>
    </x:row>
    <x:row r="89">
      <x:c r="A89" t="str">
        <x:v>360729</x:v>
      </x:c>
      <x:c r="B89" t="str">
        <x:v>全南县</x:v>
      </x:c>
      <x:c r="C89" t="str">
        <x:v>县</x:v>
      </x:c>
      <x:c r="D89" t="str">
        <x:v>2025</x:v>
      </x:c>
      <x:c r="E89" t="str">
        <x:v>resident_population_year_end</x:v>
      </x:c>
      <x:c r="F89" t="n">
        <x:v>168000</x:v>
      </x:c>
      <x:c r="G89" t="str">
        <x:v>人</x:v>
      </x:c>
      <x:c r="H89" t="str">
        <x:v>常住</x:v>
      </x:c>
      <x:c r="I89" t="str">
        <x:v>S05</x:v>
      </x:c>
      <x:c r="J89" t="str">
        <x:v>A_政府原文</x:v>
      </x:c>
      <x:c r="K89" t="str">
        <x:v>未备份原始网页；依据检索核对</x:v>
      </x:c>
      <x:c r="L89" t="str"/>
      <x:c r="M89" t="str">
        <x:v>表内原单位万人，精度0.01万人</x:v>
      </x:c>
    </x:row>
    <x:row r="90">
      <x:c r="A90" t="str">
        <x:v>360729</x:v>
      </x:c>
      <x:c r="B90" t="str">
        <x:v>全南县</x:v>
      </x:c>
      <x:c r="C90" t="str">
        <x:v>县</x:v>
      </x:c>
      <x:c r="D90" t="str">
        <x:v>2025</x:v>
      </x:c>
      <x:c r="E90" t="str">
        <x:v>urbanization_rate</x:v>
      </x:c>
      <x:c r="F90" t="n">
        <x:v>59.53</x:v>
      </x:c>
      <x:c r="G90" t="str">
        <x:v>%</x:v>
      </x:c>
      <x:c r="H90" t="str">
        <x:v>常住</x:v>
      </x:c>
      <x:c r="I90" t="str">
        <x:v>S05</x:v>
      </x:c>
      <x:c r="J90" t="str">
        <x:v>A_政府原文</x:v>
      </x:c>
      <x:c r="K90" t="str">
        <x:v>未备份原始网页；依据检索核对</x:v>
      </x:c>
      <x:c r="L90" t="str"/>
      <x:c r="M90" t="str">
        <x:v>官方县区常住人口城镇化率</x:v>
      </x:c>
    </x:row>
    <x:row r="91">
      <x:c r="A91" t="str">
        <x:v>360730</x:v>
      </x:c>
      <x:c r="B91" t="str">
        <x:v>宁都县</x:v>
      </x:c>
      <x:c r="C91" t="str">
        <x:v>县</x:v>
      </x:c>
      <x:c r="D91" t="str">
        <x:v>2024</x:v>
      </x:c>
      <x:c r="E91" t="str">
        <x:v>resident_population_year_end</x:v>
      </x:c>
      <x:c r="F91" t="n">
        <x:v>692900</x:v>
      </x:c>
      <x:c r="G91" t="str">
        <x:v>人</x:v>
      </x:c>
      <x:c r="H91" t="str">
        <x:v>常住</x:v>
      </x:c>
      <x:c r="I91" t="str">
        <x:v>S06</x:v>
      </x:c>
      <x:c r="J91" t="str">
        <x:v>A_政府原文</x:v>
      </x:c>
      <x:c r="K91" t="str">
        <x:v>未备份原始网页；依据检索核对</x:v>
      </x:c>
      <x:c r="L91" t="str"/>
      <x:c r="M91" t="str">
        <x:v>表内原单位万人，精度0.01万人</x:v>
      </x:c>
    </x:row>
    <x:row r="92">
      <x:c r="A92" t="str">
        <x:v>360730</x:v>
      </x:c>
      <x:c r="B92" t="str">
        <x:v>宁都县</x:v>
      </x:c>
      <x:c r="C92" t="str">
        <x:v>县</x:v>
      </x:c>
      <x:c r="D92" t="str">
        <x:v>2024</x:v>
      </x:c>
      <x:c r="E92" t="str">
        <x:v>urbanization_rate</x:v>
      </x:c>
      <x:c r="F92" t="n">
        <x:v>52.58</x:v>
      </x:c>
      <x:c r="G92" t="str">
        <x:v>%</x:v>
      </x:c>
      <x:c r="H92" t="str">
        <x:v>常住</x:v>
      </x:c>
      <x:c r="I92" t="str">
        <x:v>S06</x:v>
      </x:c>
      <x:c r="J92" t="str">
        <x:v>A_政府原文</x:v>
      </x:c>
      <x:c r="K92" t="str">
        <x:v>未备份原始网页；依据检索核对</x:v>
      </x:c>
      <x:c r="L92" t="str"/>
      <x:c r="M92" t="str">
        <x:v>官方县区常住人口城镇化率</x:v>
      </x:c>
    </x:row>
    <x:row r="93">
      <x:c r="A93" t="str">
        <x:v>360730</x:v>
      </x:c>
      <x:c r="B93" t="str">
        <x:v>宁都县</x:v>
      </x:c>
      <x:c r="C93" t="str">
        <x:v>县</x:v>
      </x:c>
      <x:c r="D93" t="str">
        <x:v>2025</x:v>
      </x:c>
      <x:c r="E93" t="str">
        <x:v>resident_population_year_end</x:v>
      </x:c>
      <x:c r="F93" t="n">
        <x:v>690500</x:v>
      </x:c>
      <x:c r="G93" t="str">
        <x:v>人</x:v>
      </x:c>
      <x:c r="H93" t="str">
        <x:v>常住</x:v>
      </x:c>
      <x:c r="I93" t="str">
        <x:v>S05</x:v>
      </x:c>
      <x:c r="J93" t="str">
        <x:v>A_政府原文</x:v>
      </x:c>
      <x:c r="K93" t="str">
        <x:v>未备份原始网页；依据检索核对</x:v>
      </x:c>
      <x:c r="L93" t="str"/>
      <x:c r="M93" t="str">
        <x:v>表内原单位万人，精度0.01万人</x:v>
      </x:c>
    </x:row>
    <x:row r="94">
      <x:c r="A94" t="str">
        <x:v>360730</x:v>
      </x:c>
      <x:c r="B94" t="str">
        <x:v>宁都县</x:v>
      </x:c>
      <x:c r="C94" t="str">
        <x:v>县</x:v>
      </x:c>
      <x:c r="D94" t="str">
        <x:v>2025</x:v>
      </x:c>
      <x:c r="E94" t="str">
        <x:v>urbanization_rate</x:v>
      </x:c>
      <x:c r="F94" t="n">
        <x:v>54.1</x:v>
      </x:c>
      <x:c r="G94" t="str">
        <x:v>%</x:v>
      </x:c>
      <x:c r="H94" t="str">
        <x:v>常住</x:v>
      </x:c>
      <x:c r="I94" t="str">
        <x:v>S05</x:v>
      </x:c>
      <x:c r="J94" t="str">
        <x:v>A_政府原文</x:v>
      </x:c>
      <x:c r="K94" t="str">
        <x:v>未备份原始网页；依据检索核对</x:v>
      </x:c>
      <x:c r="L94" t="str"/>
      <x:c r="M94" t="str">
        <x:v>官方县区常住人口城镇化率</x:v>
      </x:c>
    </x:row>
    <x:row r="95">
      <x:c r="A95" t="str">
        <x:v>360731</x:v>
      </x:c>
      <x:c r="B95" t="str">
        <x:v>于都县</x:v>
      </x:c>
      <x:c r="C95" t="str">
        <x:v>县</x:v>
      </x:c>
      <x:c r="D95" t="str">
        <x:v>2024</x:v>
      </x:c>
      <x:c r="E95" t="str">
        <x:v>resident_population_year_end</x:v>
      </x:c>
      <x:c r="F95" t="n">
        <x:v>899600</x:v>
      </x:c>
      <x:c r="G95" t="str">
        <x:v>人</x:v>
      </x:c>
      <x:c r="H95" t="str">
        <x:v>常住</x:v>
      </x:c>
      <x:c r="I95" t="str">
        <x:v>S06</x:v>
      </x:c>
      <x:c r="J95" t="str">
        <x:v>A_政府原文</x:v>
      </x:c>
      <x:c r="K95" t="str">
        <x:v>未备份原始网页；依据检索核对</x:v>
      </x:c>
      <x:c r="L95" t="str"/>
      <x:c r="M95" t="str">
        <x:v>表内原单位万人，精度0.01万人</x:v>
      </x:c>
    </x:row>
    <x:row r="96">
      <x:c r="A96" t="str">
        <x:v>360731</x:v>
      </x:c>
      <x:c r="B96" t="str">
        <x:v>于都县</x:v>
      </x:c>
      <x:c r="C96" t="str">
        <x:v>县</x:v>
      </x:c>
      <x:c r="D96" t="str">
        <x:v>2024</x:v>
      </x:c>
      <x:c r="E96" t="str">
        <x:v>urbanization_rate</x:v>
      </x:c>
      <x:c r="F96" t="n">
        <x:v>47.38</x:v>
      </x:c>
      <x:c r="G96" t="str">
        <x:v>%</x:v>
      </x:c>
      <x:c r="H96" t="str">
        <x:v>常住</x:v>
      </x:c>
      <x:c r="I96" t="str">
        <x:v>S06</x:v>
      </x:c>
      <x:c r="J96" t="str">
        <x:v>A_政府原文</x:v>
      </x:c>
      <x:c r="K96" t="str">
        <x:v>未备份原始网页；依据检索核对</x:v>
      </x:c>
      <x:c r="L96" t="str"/>
      <x:c r="M96" t="str">
        <x:v>官方县区常住人口城镇化率</x:v>
      </x:c>
    </x:row>
    <x:row r="97">
      <x:c r="A97" t="str">
        <x:v>360731</x:v>
      </x:c>
      <x:c r="B97" t="str">
        <x:v>于都县</x:v>
      </x:c>
      <x:c r="C97" t="str">
        <x:v>县</x:v>
      </x:c>
      <x:c r="D97" t="str">
        <x:v>2025</x:v>
      </x:c>
      <x:c r="E97" t="str">
        <x:v>resident_population_year_end</x:v>
      </x:c>
      <x:c r="F97" t="n">
        <x:v>896200</x:v>
      </x:c>
      <x:c r="G97" t="str">
        <x:v>人</x:v>
      </x:c>
      <x:c r="H97" t="str">
        <x:v>常住</x:v>
      </x:c>
      <x:c r="I97" t="str">
        <x:v>S05</x:v>
      </x:c>
      <x:c r="J97" t="str">
        <x:v>A_政府原文</x:v>
      </x:c>
      <x:c r="K97" t="str">
        <x:v>未备份原始网页；依据检索核对</x:v>
      </x:c>
      <x:c r="L97" t="str"/>
      <x:c r="M97" t="str">
        <x:v>表内原单位万人，精度0.01万人</x:v>
      </x:c>
    </x:row>
    <x:row r="98">
      <x:c r="A98" t="str">
        <x:v>360731</x:v>
      </x:c>
      <x:c r="B98" t="str">
        <x:v>于都县</x:v>
      </x:c>
      <x:c r="C98" t="str">
        <x:v>县</x:v>
      </x:c>
      <x:c r="D98" t="str">
        <x:v>2025</x:v>
      </x:c>
      <x:c r="E98" t="str">
        <x:v>urbanization_rate</x:v>
      </x:c>
      <x:c r="F98" t="n">
        <x:v>48.9</x:v>
      </x:c>
      <x:c r="G98" t="str">
        <x:v>%</x:v>
      </x:c>
      <x:c r="H98" t="str">
        <x:v>常住</x:v>
      </x:c>
      <x:c r="I98" t="str">
        <x:v>S05</x:v>
      </x:c>
      <x:c r="J98" t="str">
        <x:v>A_政府原文</x:v>
      </x:c>
      <x:c r="K98" t="str">
        <x:v>未备份原始网页；依据检索核对</x:v>
      </x:c>
      <x:c r="L98" t="str"/>
      <x:c r="M98" t="str">
        <x:v>官方县区常住人口城镇化率</x:v>
      </x:c>
    </x:row>
    <x:row r="99">
      <x:c r="A99" t="str">
        <x:v>360732</x:v>
      </x:c>
      <x:c r="B99" t="str">
        <x:v>兴国县</x:v>
      </x:c>
      <x:c r="C99" t="str">
        <x:v>县</x:v>
      </x:c>
      <x:c r="D99" t="str">
        <x:v>2024</x:v>
      </x:c>
      <x:c r="E99" t="str">
        <x:v>resident_population_year_end</x:v>
      </x:c>
      <x:c r="F99" t="n">
        <x:v>709800</x:v>
      </x:c>
      <x:c r="G99" t="str">
        <x:v>人</x:v>
      </x:c>
      <x:c r="H99" t="str">
        <x:v>常住</x:v>
      </x:c>
      <x:c r="I99" t="str">
        <x:v>S06</x:v>
      </x:c>
      <x:c r="J99" t="str">
        <x:v>A_政府原文</x:v>
      </x:c>
      <x:c r="K99" t="str">
        <x:v>未备份原始网页；依据检索核对</x:v>
      </x:c>
      <x:c r="L99" t="str"/>
      <x:c r="M99" t="str">
        <x:v>表内原单位万人，精度0.01万人</x:v>
      </x:c>
    </x:row>
    <x:row r="100">
      <x:c r="A100" t="str">
        <x:v>360732</x:v>
      </x:c>
      <x:c r="B100" t="str">
        <x:v>兴国县</x:v>
      </x:c>
      <x:c r="C100" t="str">
        <x:v>县</x:v>
      </x:c>
      <x:c r="D100" t="str">
        <x:v>2024</x:v>
      </x:c>
      <x:c r="E100" t="str">
        <x:v>urbanization_rate</x:v>
      </x:c>
      <x:c r="F100" t="n">
        <x:v>48.75</x:v>
      </x:c>
      <x:c r="G100" t="str">
        <x:v>%</x:v>
      </x:c>
      <x:c r="H100" t="str">
        <x:v>常住</x:v>
      </x:c>
      <x:c r="I100" t="str">
        <x:v>S06</x:v>
      </x:c>
      <x:c r="J100" t="str">
        <x:v>A_政府原文</x:v>
      </x:c>
      <x:c r="K100" t="str">
        <x:v>未备份原始网页；依据检索核对</x:v>
      </x:c>
      <x:c r="L100" t="str"/>
      <x:c r="M100" t="str">
        <x:v>官方县区常住人口城镇化率</x:v>
      </x:c>
    </x:row>
    <x:row r="101">
      <x:c r="A101" t="str">
        <x:v>360732</x:v>
      </x:c>
      <x:c r="B101" t="str">
        <x:v>兴国县</x:v>
      </x:c>
      <x:c r="C101" t="str">
        <x:v>县</x:v>
      </x:c>
      <x:c r="D101" t="str">
        <x:v>2025</x:v>
      </x:c>
      <x:c r="E101" t="str">
        <x:v>resident_population_year_end</x:v>
      </x:c>
      <x:c r="F101" t="n">
        <x:v>706300</x:v>
      </x:c>
      <x:c r="G101" t="str">
        <x:v>人</x:v>
      </x:c>
      <x:c r="H101" t="str">
        <x:v>常住</x:v>
      </x:c>
      <x:c r="I101" t="str">
        <x:v>S05</x:v>
      </x:c>
      <x:c r="J101" t="str">
        <x:v>A_政府原文</x:v>
      </x:c>
      <x:c r="K101" t="str">
        <x:v>未备份原始网页；依据检索核对</x:v>
      </x:c>
      <x:c r="L101" t="str"/>
      <x:c r="M101" t="str">
        <x:v>表内原单位万人，精度0.01万人</x:v>
      </x:c>
    </x:row>
    <x:row r="102">
      <x:c r="A102" t="str">
        <x:v>360732</x:v>
      </x:c>
      <x:c r="B102" t="str">
        <x:v>兴国县</x:v>
      </x:c>
      <x:c r="C102" t="str">
        <x:v>县</x:v>
      </x:c>
      <x:c r="D102" t="str">
        <x:v>2025</x:v>
      </x:c>
      <x:c r="E102" t="str">
        <x:v>urbanization_rate</x:v>
      </x:c>
      <x:c r="F102" t="n">
        <x:v>50.35</x:v>
      </x:c>
      <x:c r="G102" t="str">
        <x:v>%</x:v>
      </x:c>
      <x:c r="H102" t="str">
        <x:v>常住</x:v>
      </x:c>
      <x:c r="I102" t="str">
        <x:v>S05</x:v>
      </x:c>
      <x:c r="J102" t="str">
        <x:v>A_政府原文</x:v>
      </x:c>
      <x:c r="K102" t="str">
        <x:v>未备份原始网页；依据检索核对</x:v>
      </x:c>
      <x:c r="L102" t="str"/>
      <x:c r="M102" t="str">
        <x:v>官方县区常住人口城镇化率</x:v>
      </x:c>
    </x:row>
    <x:row r="103">
      <x:c r="A103" t="str">
        <x:v>360733</x:v>
      </x:c>
      <x:c r="B103" t="str">
        <x:v>会昌县</x:v>
      </x:c>
      <x:c r="C103" t="str">
        <x:v>县</x:v>
      </x:c>
      <x:c r="D103" t="str">
        <x:v>2024</x:v>
      </x:c>
      <x:c r="E103" t="str">
        <x:v>resident_population_year_end</x:v>
      </x:c>
      <x:c r="F103" t="n">
        <x:v>449300</x:v>
      </x:c>
      <x:c r="G103" t="str">
        <x:v>人</x:v>
      </x:c>
      <x:c r="H103" t="str">
        <x:v>常住</x:v>
      </x:c>
      <x:c r="I103" t="str">
        <x:v>S06</x:v>
      </x:c>
      <x:c r="J103" t="str">
        <x:v>A_政府原文</x:v>
      </x:c>
      <x:c r="K103" t="str">
        <x:v>未备份原始网页；依据检索核对</x:v>
      </x:c>
      <x:c r="L103" t="str"/>
      <x:c r="M103" t="str">
        <x:v>表内原单位万人，精度0.01万人</x:v>
      </x:c>
    </x:row>
    <x:row r="104">
      <x:c r="A104" t="str">
        <x:v>360733</x:v>
      </x:c>
      <x:c r="B104" t="str">
        <x:v>会昌县</x:v>
      </x:c>
      <x:c r="C104" t="str">
        <x:v>县</x:v>
      </x:c>
      <x:c r="D104" t="str">
        <x:v>2024</x:v>
      </x:c>
      <x:c r="E104" t="str">
        <x:v>urbanization_rate</x:v>
      </x:c>
      <x:c r="F104" t="n">
        <x:v>57.81</x:v>
      </x:c>
      <x:c r="G104" t="str">
        <x:v>%</x:v>
      </x:c>
      <x:c r="H104" t="str">
        <x:v>常住</x:v>
      </x:c>
      <x:c r="I104" t="str">
        <x:v>S06</x:v>
      </x:c>
      <x:c r="J104" t="str">
        <x:v>A_政府原文</x:v>
      </x:c>
      <x:c r="K104" t="str">
        <x:v>未备份原始网页；依据检索核对</x:v>
      </x:c>
      <x:c r="L104" t="str"/>
      <x:c r="M104" t="str">
        <x:v>官方县区常住人口城镇化率</x:v>
      </x:c>
    </x:row>
    <x:row r="105">
      <x:c r="A105" t="str">
        <x:v>360733</x:v>
      </x:c>
      <x:c r="B105" t="str">
        <x:v>会昌县</x:v>
      </x:c>
      <x:c r="C105" t="str">
        <x:v>县</x:v>
      </x:c>
      <x:c r="D105" t="str">
        <x:v>2025</x:v>
      </x:c>
      <x:c r="E105" t="str">
        <x:v>resident_population_year_end</x:v>
      </x:c>
      <x:c r="F105" t="n">
        <x:v>450800</x:v>
      </x:c>
      <x:c r="G105" t="str">
        <x:v>人</x:v>
      </x:c>
      <x:c r="H105" t="str">
        <x:v>常住</x:v>
      </x:c>
      <x:c r="I105" t="str">
        <x:v>S05</x:v>
      </x:c>
      <x:c r="J105" t="str">
        <x:v>A_政府原文</x:v>
      </x:c>
      <x:c r="K105" t="str">
        <x:v>未备份原始网页；依据检索核对</x:v>
      </x:c>
      <x:c r="L105" t="str"/>
      <x:c r="M105" t="str">
        <x:v>表内原单位万人，精度0.01万人</x:v>
      </x:c>
    </x:row>
    <x:row r="106">
      <x:c r="A106" t="str">
        <x:v>360733</x:v>
      </x:c>
      <x:c r="B106" t="str">
        <x:v>会昌县</x:v>
      </x:c>
      <x:c r="C106" t="str">
        <x:v>县</x:v>
      </x:c>
      <x:c r="D106" t="str">
        <x:v>2025</x:v>
      </x:c>
      <x:c r="E106" t="str">
        <x:v>urbanization_rate</x:v>
      </x:c>
      <x:c r="F106" t="n">
        <x:v>59.23</x:v>
      </x:c>
      <x:c r="G106" t="str">
        <x:v>%</x:v>
      </x:c>
      <x:c r="H106" t="str">
        <x:v>常住</x:v>
      </x:c>
      <x:c r="I106" t="str">
        <x:v>S05</x:v>
      </x:c>
      <x:c r="J106" t="str">
        <x:v>A_政府原文</x:v>
      </x:c>
      <x:c r="K106" t="str">
        <x:v>未备份原始网页；依据检索核对</x:v>
      </x:c>
      <x:c r="L106" t="str"/>
      <x:c r="M106" t="str">
        <x:v>官方县区常住人口城镇化率</x:v>
      </x:c>
    </x:row>
    <x:row r="107">
      <x:c r="A107" t="str">
        <x:v>360734</x:v>
      </x:c>
      <x:c r="B107" t="str">
        <x:v>寻乌县</x:v>
      </x:c>
      <x:c r="C107" t="str">
        <x:v>县</x:v>
      </x:c>
      <x:c r="D107" t="str">
        <x:v>2024</x:v>
      </x:c>
      <x:c r="E107" t="str">
        <x:v>resident_population_year_end</x:v>
      </x:c>
      <x:c r="F107" t="n">
        <x:v>279700</x:v>
      </x:c>
      <x:c r="G107" t="str">
        <x:v>人</x:v>
      </x:c>
      <x:c r="H107" t="str">
        <x:v>常住</x:v>
      </x:c>
      <x:c r="I107" t="str">
        <x:v>S06</x:v>
      </x:c>
      <x:c r="J107" t="str">
        <x:v>A_政府原文</x:v>
      </x:c>
      <x:c r="K107" t="str">
        <x:v>未备份原始网页；依据检索核对</x:v>
      </x:c>
      <x:c r="L107" t="str"/>
      <x:c r="M107" t="str">
        <x:v>表内原单位万人，精度0.01万人</x:v>
      </x:c>
    </x:row>
    <x:row r="108">
      <x:c r="A108" t="str">
        <x:v>360734</x:v>
      </x:c>
      <x:c r="B108" t="str">
        <x:v>寻乌县</x:v>
      </x:c>
      <x:c r="C108" t="str">
        <x:v>县</x:v>
      </x:c>
      <x:c r="D108" t="str">
        <x:v>2024</x:v>
      </x:c>
      <x:c r="E108" t="str">
        <x:v>urbanization_rate</x:v>
      </x:c>
      <x:c r="F108" t="n">
        <x:v>54.24</x:v>
      </x:c>
      <x:c r="G108" t="str">
        <x:v>%</x:v>
      </x:c>
      <x:c r="H108" t="str">
        <x:v>常住</x:v>
      </x:c>
      <x:c r="I108" t="str">
        <x:v>S06</x:v>
      </x:c>
      <x:c r="J108" t="str">
        <x:v>A_政府原文</x:v>
      </x:c>
      <x:c r="K108" t="str">
        <x:v>未备份原始网页；依据检索核对</x:v>
      </x:c>
      <x:c r="L108" t="str"/>
      <x:c r="M108" t="str">
        <x:v>官方县区常住人口城镇化率</x:v>
      </x:c>
    </x:row>
    <x:row r="109">
      <x:c r="A109" t="str">
        <x:v>360734</x:v>
      </x:c>
      <x:c r="B109" t="str">
        <x:v>寻乌县</x:v>
      </x:c>
      <x:c r="C109" t="str">
        <x:v>县</x:v>
      </x:c>
      <x:c r="D109" t="str">
        <x:v>2025</x:v>
      </x:c>
      <x:c r="E109" t="str">
        <x:v>resident_population_year_end</x:v>
      </x:c>
      <x:c r="F109" t="n">
        <x:v>279700</x:v>
      </x:c>
      <x:c r="G109" t="str">
        <x:v>人</x:v>
      </x:c>
      <x:c r="H109" t="str">
        <x:v>常住</x:v>
      </x:c>
      <x:c r="I109" t="str">
        <x:v>S05</x:v>
      </x:c>
      <x:c r="J109" t="str">
        <x:v>A_政府原文</x:v>
      </x:c>
      <x:c r="K109" t="str">
        <x:v>未备份原始网页；依据检索核对</x:v>
      </x:c>
      <x:c r="L109" t="str"/>
      <x:c r="M109" t="str">
        <x:v>表内原单位万人，精度0.01万人</x:v>
      </x:c>
    </x:row>
    <x:row r="110">
      <x:c r="A110" t="str">
        <x:v>360734</x:v>
      </x:c>
      <x:c r="B110" t="str">
        <x:v>寻乌县</x:v>
      </x:c>
      <x:c r="C110" t="str">
        <x:v>县</x:v>
      </x:c>
      <x:c r="D110" t="str">
        <x:v>2025</x:v>
      </x:c>
      <x:c r="E110" t="str">
        <x:v>urbanization_rate</x:v>
      </x:c>
      <x:c r="F110" t="n">
        <x:v>55.69</x:v>
      </x:c>
      <x:c r="G110" t="str">
        <x:v>%</x:v>
      </x:c>
      <x:c r="H110" t="str">
        <x:v>常住</x:v>
      </x:c>
      <x:c r="I110" t="str">
        <x:v>S05</x:v>
      </x:c>
      <x:c r="J110" t="str">
        <x:v>A_政府原文</x:v>
      </x:c>
      <x:c r="K110" t="str">
        <x:v>未备份原始网页；依据检索核对</x:v>
      </x:c>
      <x:c r="L110" t="str"/>
      <x:c r="M110" t="str">
        <x:v>官方县区常住人口城镇化率</x:v>
      </x:c>
    </x:row>
    <x:row r="111">
      <x:c r="A111" t="str">
        <x:v>360735</x:v>
      </x:c>
      <x:c r="B111" t="str">
        <x:v>石城县</x:v>
      </x:c>
      <x:c r="C111" t="str">
        <x:v>县</x:v>
      </x:c>
      <x:c r="D111" t="str">
        <x:v>2024</x:v>
      </x:c>
      <x:c r="E111" t="str">
        <x:v>resident_population_year_end</x:v>
      </x:c>
      <x:c r="F111" t="n">
        <x:v>281200</x:v>
      </x:c>
      <x:c r="G111" t="str">
        <x:v>人</x:v>
      </x:c>
      <x:c r="H111" t="str">
        <x:v>常住</x:v>
      </x:c>
      <x:c r="I111" t="str">
        <x:v>S06</x:v>
      </x:c>
      <x:c r="J111" t="str">
        <x:v>A_政府原文</x:v>
      </x:c>
      <x:c r="K111" t="str">
        <x:v>未备份原始网页；依据检索核对</x:v>
      </x:c>
      <x:c r="L111" t="str"/>
      <x:c r="M111" t="str">
        <x:v>表内原单位万人，精度0.01万人</x:v>
      </x:c>
    </x:row>
    <x:row r="112">
      <x:c r="A112" t="str">
        <x:v>360735</x:v>
      </x:c>
      <x:c r="B112" t="str">
        <x:v>石城县</x:v>
      </x:c>
      <x:c r="C112" t="str">
        <x:v>县</x:v>
      </x:c>
      <x:c r="D112" t="str">
        <x:v>2024</x:v>
      </x:c>
      <x:c r="E112" t="str">
        <x:v>urbanization_rate</x:v>
      </x:c>
      <x:c r="F112" t="n">
        <x:v>51.76</x:v>
      </x:c>
      <x:c r="G112" t="str">
        <x:v>%</x:v>
      </x:c>
      <x:c r="H112" t="str">
        <x:v>常住</x:v>
      </x:c>
      <x:c r="I112" t="str">
        <x:v>S06</x:v>
      </x:c>
      <x:c r="J112" t="str">
        <x:v>A_政府原文</x:v>
      </x:c>
      <x:c r="K112" t="str">
        <x:v>未备份原始网页；依据检索核对</x:v>
      </x:c>
      <x:c r="L112" t="str"/>
      <x:c r="M112" t="str">
        <x:v>官方县区常住人口城镇化率</x:v>
      </x:c>
    </x:row>
    <x:row r="113">
      <x:c r="A113" t="str">
        <x:v>360735</x:v>
      </x:c>
      <x:c r="B113" t="str">
        <x:v>石城县</x:v>
      </x:c>
      <x:c r="C113" t="str">
        <x:v>县</x:v>
      </x:c>
      <x:c r="D113" t="str">
        <x:v>2025</x:v>
      </x:c>
      <x:c r="E113" t="str">
        <x:v>resident_population_year_end</x:v>
      </x:c>
      <x:c r="F113" t="n">
        <x:v>280500</x:v>
      </x:c>
      <x:c r="G113" t="str">
        <x:v>人</x:v>
      </x:c>
      <x:c r="H113" t="str">
        <x:v>常住</x:v>
      </x:c>
      <x:c r="I113" t="str">
        <x:v>S05</x:v>
      </x:c>
      <x:c r="J113" t="str">
        <x:v>A_政府原文</x:v>
      </x:c>
      <x:c r="K113" t="str">
        <x:v>未备份原始网页；依据检索核对</x:v>
      </x:c>
      <x:c r="L113" t="str"/>
      <x:c r="M113" t="str">
        <x:v>表内原单位万人，精度0.01万人</x:v>
      </x:c>
    </x:row>
    <x:row r="114">
      <x:c r="A114" t="str">
        <x:v>360735</x:v>
      </x:c>
      <x:c r="B114" t="str">
        <x:v>石城县</x:v>
      </x:c>
      <x:c r="C114" t="str">
        <x:v>县</x:v>
      </x:c>
      <x:c r="D114" t="str">
        <x:v>2025</x:v>
      </x:c>
      <x:c r="E114" t="str">
        <x:v>urbanization_rate</x:v>
      </x:c>
      <x:c r="F114" t="n">
        <x:v>53.34</x:v>
      </x:c>
      <x:c r="G114" t="str">
        <x:v>%</x:v>
      </x:c>
      <x:c r="H114" t="str">
        <x:v>常住</x:v>
      </x:c>
      <x:c r="I114" t="str">
        <x:v>S05</x:v>
      </x:c>
      <x:c r="J114" t="str">
        <x:v>A_政府原文</x:v>
      </x:c>
      <x:c r="K114" t="str">
        <x:v>未备份原始网页；依据检索核对</x:v>
      </x:c>
      <x:c r="L114" t="str"/>
      <x:c r="M114" t="str">
        <x:v>官方县区常住人口城镇化率</x:v>
      </x:c>
    </x:row>
    <x:row r="115">
      <x:c r="A115" t="str">
        <x:v>360781</x:v>
      </x:c>
      <x:c r="B115" t="str">
        <x:v>瑞金市</x:v>
      </x:c>
      <x:c r="C115" t="str">
        <x:v>县</x:v>
      </x:c>
      <x:c r="D115" t="str">
        <x:v>2024</x:v>
      </x:c>
      <x:c r="E115" t="str">
        <x:v>resident_population_year_end</x:v>
      </x:c>
      <x:c r="F115" t="n">
        <x:v>610600</x:v>
      </x:c>
      <x:c r="G115" t="str">
        <x:v>人</x:v>
      </x:c>
      <x:c r="H115" t="str">
        <x:v>常住</x:v>
      </x:c>
      <x:c r="I115" t="str">
        <x:v>S06</x:v>
      </x:c>
      <x:c r="J115" t="str">
        <x:v>A_政府原文</x:v>
      </x:c>
      <x:c r="K115" t="str">
        <x:v>未备份原始网页；依据检索核对</x:v>
      </x:c>
      <x:c r="L115" t="str"/>
      <x:c r="M115" t="str">
        <x:v>表内原单位万人，精度0.01万人</x:v>
      </x:c>
    </x:row>
    <x:row r="116">
      <x:c r="A116" t="str">
        <x:v>360781</x:v>
      </x:c>
      <x:c r="B116" t="str">
        <x:v>瑞金市</x:v>
      </x:c>
      <x:c r="C116" t="str">
        <x:v>县</x:v>
      </x:c>
      <x:c r="D116" t="str">
        <x:v>2024</x:v>
      </x:c>
      <x:c r="E116" t="str">
        <x:v>urbanization_rate</x:v>
      </x:c>
      <x:c r="F116" t="n">
        <x:v>53.69</x:v>
      </x:c>
      <x:c r="G116" t="str">
        <x:v>%</x:v>
      </x:c>
      <x:c r="H116" t="str">
        <x:v>常住</x:v>
      </x:c>
      <x:c r="I116" t="str">
        <x:v>S06</x:v>
      </x:c>
      <x:c r="J116" t="str">
        <x:v>A_政府原文</x:v>
      </x:c>
      <x:c r="K116" t="str">
        <x:v>未备份原始网页；依据检索核对</x:v>
      </x:c>
      <x:c r="L116" t="str"/>
      <x:c r="M116" t="str">
        <x:v>官方县区常住人口城镇化率</x:v>
      </x:c>
    </x:row>
    <x:row r="117">
      <x:c r="A117" t="str">
        <x:v>360781</x:v>
      </x:c>
      <x:c r="B117" t="str">
        <x:v>瑞金市</x:v>
      </x:c>
      <x:c r="C117" t="str">
        <x:v>县</x:v>
      </x:c>
      <x:c r="D117" t="str">
        <x:v>2025</x:v>
      </x:c>
      <x:c r="E117" t="str">
        <x:v>resident_population_year_end</x:v>
      </x:c>
      <x:c r="F117" t="n">
        <x:v>606700</x:v>
      </x:c>
      <x:c r="G117" t="str">
        <x:v>人</x:v>
      </x:c>
      <x:c r="H117" t="str">
        <x:v>常住</x:v>
      </x:c>
      <x:c r="I117" t="str">
        <x:v>S05</x:v>
      </x:c>
      <x:c r="J117" t="str">
        <x:v>A_政府原文</x:v>
      </x:c>
      <x:c r="K117" t="str">
        <x:v>未备份原始网页；依据检索核对</x:v>
      </x:c>
      <x:c r="L117" t="str"/>
      <x:c r="M117" t="str">
        <x:v>表内原单位万人，精度0.01万人</x:v>
      </x:c>
    </x:row>
    <x:row r="118">
      <x:c r="A118" t="str">
        <x:v>360781</x:v>
      </x:c>
      <x:c r="B118" t="str">
        <x:v>瑞金市</x:v>
      </x:c>
      <x:c r="C118" t="str">
        <x:v>县</x:v>
      </x:c>
      <x:c r="D118" t="str">
        <x:v>2025</x:v>
      </x:c>
      <x:c r="E118" t="str">
        <x:v>urbanization_rate</x:v>
      </x:c>
      <x:c r="F118" t="n">
        <x:v>55.13</x:v>
      </x:c>
      <x:c r="G118" t="str">
        <x:v>%</x:v>
      </x:c>
      <x:c r="H118" t="str">
        <x:v>常住</x:v>
      </x:c>
      <x:c r="I118" t="str">
        <x:v>S05</x:v>
      </x:c>
      <x:c r="J118" t="str">
        <x:v>A_政府原文</x:v>
      </x:c>
      <x:c r="K118" t="str">
        <x:v>未备份原始网页；依据检索核对</x:v>
      </x:c>
      <x:c r="L118" t="str"/>
      <x:c r="M118" t="str">
        <x:v>官方县区常住人口城镇化率</x:v>
      </x:c>
    </x:row>
    <x:row r="119">
      <x:c r="A119" t="str">
        <x:v>360783</x:v>
      </x:c>
      <x:c r="B119" t="str">
        <x:v>龙南市</x:v>
      </x:c>
      <x:c r="C119" t="str">
        <x:v>县</x:v>
      </x:c>
      <x:c r="D119" t="str">
        <x:v>2024</x:v>
      </x:c>
      <x:c r="E119" t="str">
        <x:v>resident_population_year_end</x:v>
      </x:c>
      <x:c r="F119" t="n">
        <x:v>316300</x:v>
      </x:c>
      <x:c r="G119" t="str">
        <x:v>人</x:v>
      </x:c>
      <x:c r="H119" t="str">
        <x:v>常住</x:v>
      </x:c>
      <x:c r="I119" t="str">
        <x:v>S06</x:v>
      </x:c>
      <x:c r="J119" t="str">
        <x:v>A_政府原文</x:v>
      </x:c>
      <x:c r="K119" t="str">
        <x:v>未备份原始网页；依据检索核对</x:v>
      </x:c>
      <x:c r="L119" t="str"/>
      <x:c r="M119" t="str">
        <x:v>表内原单位万人，精度0.01万人</x:v>
      </x:c>
    </x:row>
    <x:row r="120">
      <x:c r="A120" t="str">
        <x:v>360783</x:v>
      </x:c>
      <x:c r="B120" t="str">
        <x:v>龙南市</x:v>
      </x:c>
      <x:c r="C120" t="str">
        <x:v>县</x:v>
      </x:c>
      <x:c r="D120" t="str">
        <x:v>2024</x:v>
      </x:c>
      <x:c r="E120" t="str">
        <x:v>urbanization_rate</x:v>
      </x:c>
      <x:c r="F120" t="n">
        <x:v>67.78</x:v>
      </x:c>
      <x:c r="G120" t="str">
        <x:v>%</x:v>
      </x:c>
      <x:c r="H120" t="str">
        <x:v>常住</x:v>
      </x:c>
      <x:c r="I120" t="str">
        <x:v>S06</x:v>
      </x:c>
      <x:c r="J120" t="str">
        <x:v>A_政府原文</x:v>
      </x:c>
      <x:c r="K120" t="str">
        <x:v>未备份原始网页；依据检索核对</x:v>
      </x:c>
      <x:c r="L120" t="str"/>
      <x:c r="M120" t="str">
        <x:v>官方县区常住人口城镇化率</x:v>
      </x:c>
    </x:row>
    <x:row r="121">
      <x:c r="A121" t="str">
        <x:v>360783</x:v>
      </x:c>
      <x:c r="B121" t="str">
        <x:v>龙南市</x:v>
      </x:c>
      <x:c r="C121" t="str">
        <x:v>县</x:v>
      </x:c>
      <x:c r="D121" t="str">
        <x:v>2025</x:v>
      </x:c>
      <x:c r="E121" t="str">
        <x:v>resident_population_year_end</x:v>
      </x:c>
      <x:c r="F121" t="n">
        <x:v>316700</x:v>
      </x:c>
      <x:c r="G121" t="str">
        <x:v>人</x:v>
      </x:c>
      <x:c r="H121" t="str">
        <x:v>常住</x:v>
      </x:c>
      <x:c r="I121" t="str">
        <x:v>S05</x:v>
      </x:c>
      <x:c r="J121" t="str">
        <x:v>A_政府原文</x:v>
      </x:c>
      <x:c r="K121" t="str">
        <x:v>未备份原始网页；依据检索核对</x:v>
      </x:c>
      <x:c r="L121" t="str"/>
      <x:c r="M121" t="str">
        <x:v>表内原单位万人，精度0.01万人</x:v>
      </x:c>
    </x:row>
    <x:row r="122">
      <x:c r="A122" t="str">
        <x:v>360783</x:v>
      </x:c>
      <x:c r="B122" t="str">
        <x:v>龙南市</x:v>
      </x:c>
      <x:c r="C122" t="str">
        <x:v>县</x:v>
      </x:c>
      <x:c r="D122" t="str">
        <x:v>2025</x:v>
      </x:c>
      <x:c r="E122" t="str">
        <x:v>urbanization_rate</x:v>
      </x:c>
      <x:c r="F122" t="n">
        <x:v>68.87</x:v>
      </x:c>
      <x:c r="G122" t="str">
        <x:v>%</x:v>
      </x:c>
      <x:c r="H122" t="str">
        <x:v>常住</x:v>
      </x:c>
      <x:c r="I122" t="str">
        <x:v>S05</x:v>
      </x:c>
      <x:c r="J122" t="str">
        <x:v>A_政府原文</x:v>
      </x:c>
      <x:c r="K122" t="str">
        <x:v>未备份原始网页；依据检索核对</x:v>
      </x:c>
      <x:c r="L122" t="str"/>
      <x:c r="M122" t="str">
        <x:v>官方县区常住人口城镇化率</x:v>
      </x:c>
    </x:row>
    <x:row r="123">
      <x:c r="A123" t="str">
        <x:v>360000</x:v>
      </x:c>
      <x:c r="B123" t="str">
        <x:v>江西省</x:v>
      </x:c>
      <x:c r="C123" t="str">
        <x:v>省</x:v>
      </x:c>
      <x:c r="D123" t="str">
        <x:v>2025</x:v>
      </x:c>
      <x:c r="E123" t="str">
        <x:v>resident_population_year_end</x:v>
      </x:c>
      <x:c r="F123" t="n">
        <x:v>44740000</x:v>
      </x:c>
      <x:c r="G123" t="str">
        <x:v>人</x:v>
      </x:c>
      <x:c r="H123" t="str">
        <x:v>全省</x:v>
      </x:c>
      <x:c r="I123" t="str">
        <x:v>S01</x:v>
      </x:c>
      <x:c r="J123" t="str">
        <x:v>A_官方公报刊载</x:v>
      </x:c>
      <x:c r="K123" t="str">
        <x:v>未备份原始网页；依据检索核对</x:v>
      </x:c>
      <x:c r="L123" t="str"/>
      <x:c r="M123" t="str">
        <x:v>参保≠领取待遇；GDP不等于财政支出</x:v>
      </x:c>
    </x:row>
    <x:row r="124">
      <x:c r="A124" t="str">
        <x:v>360000</x:v>
      </x:c>
      <x:c r="B124" t="str">
        <x:v>江西省</x:v>
      </x:c>
      <x:c r="C124" t="str">
        <x:v>省</x:v>
      </x:c>
      <x:c r="D124" t="str">
        <x:v>2025</x:v>
      </x:c>
      <x:c r="E124" t="str">
        <x:v>urban_resident_population</x:v>
      </x:c>
      <x:c r="F124" t="n">
        <x:v>28990000</x:v>
      </x:c>
      <x:c r="G124" t="str">
        <x:v>人</x:v>
      </x:c>
      <x:c r="H124" t="str">
        <x:v>全省</x:v>
      </x:c>
      <x:c r="I124" t="str">
        <x:v>S01</x:v>
      </x:c>
      <x:c r="J124" t="str">
        <x:v>A_官方公报刊载</x:v>
      </x:c>
      <x:c r="K124" t="str">
        <x:v>未备份原始网页；依据检索核对</x:v>
      </x:c>
      <x:c r="L124" t="str"/>
      <x:c r="M124" t="str">
        <x:v>参保≠领取待遇；GDP不等于财政支出</x:v>
      </x:c>
    </x:row>
    <x:row r="125">
      <x:c r="A125" t="str">
        <x:v>360000</x:v>
      </x:c>
      <x:c r="B125" t="str">
        <x:v>江西省</x:v>
      </x:c>
      <x:c r="C125" t="str">
        <x:v>省</x:v>
      </x:c>
      <x:c r="D125" t="str">
        <x:v>2025</x:v>
      </x:c>
      <x:c r="E125" t="str">
        <x:v>births</x:v>
      </x:c>
      <x:c r="F125" t="n">
        <x:v>248000</x:v>
      </x:c>
      <x:c r="G125" t="str">
        <x:v>人</x:v>
      </x:c>
      <x:c r="H125" t="str">
        <x:v>全省</x:v>
      </x:c>
      <x:c r="I125" t="str">
        <x:v>S01</x:v>
      </x:c>
      <x:c r="J125" t="str">
        <x:v>A_官方公报刊载</x:v>
      </x:c>
      <x:c r="K125" t="str">
        <x:v>未备份原始网页；依据检索核对</x:v>
      </x:c>
      <x:c r="L125" t="str"/>
      <x:c r="M125" t="str">
        <x:v>参保≠领取待遇；GDP不等于财政支出</x:v>
      </x:c>
    </x:row>
    <x:row r="126">
      <x:c r="A126" t="str">
        <x:v>360000</x:v>
      </x:c>
      <x:c r="B126" t="str">
        <x:v>江西省</x:v>
      </x:c>
      <x:c r="C126" t="str">
        <x:v>省</x:v>
      </x:c>
      <x:c r="D126" t="str">
        <x:v>2025</x:v>
      </x:c>
      <x:c r="E126" t="str">
        <x:v>deaths</x:v>
      </x:c>
      <x:c r="F126" t="n">
        <x:v>337000</x:v>
      </x:c>
      <x:c r="G126" t="str">
        <x:v>人</x:v>
      </x:c>
      <x:c r="H126" t="str">
        <x:v>全省</x:v>
      </x:c>
      <x:c r="I126" t="str">
        <x:v>S01</x:v>
      </x:c>
      <x:c r="J126" t="str">
        <x:v>A_官方公报刊载</x:v>
      </x:c>
      <x:c r="K126" t="str">
        <x:v>未备份原始网页；依据检索核对</x:v>
      </x:c>
      <x:c r="L126" t="str"/>
      <x:c r="M126" t="str">
        <x:v>参保≠领取待遇；GDP不等于财政支出</x:v>
      </x:c>
    </x:row>
    <x:row r="127">
      <x:c r="A127" t="str">
        <x:v>360000</x:v>
      </x:c>
      <x:c r="B127" t="str">
        <x:v>江西省</x:v>
      </x:c>
      <x:c r="C127" t="str">
        <x:v>省</x:v>
      </x:c>
      <x:c r="D127" t="str">
        <x:v>2025</x:v>
      </x:c>
      <x:c r="E127" t="str">
        <x:v>new_urban_jobs</x:v>
      </x:c>
      <x:c r="F127" t="n">
        <x:v>485000</x:v>
      </x:c>
      <x:c r="G127" t="str">
        <x:v>人</x:v>
      </x:c>
      <x:c r="H127" t="str">
        <x:v>全省</x:v>
      </x:c>
      <x:c r="I127" t="str">
        <x:v>S01</x:v>
      </x:c>
      <x:c r="J127" t="str">
        <x:v>A_官方公报刊载</x:v>
      </x:c>
      <x:c r="K127" t="str">
        <x:v>未备份原始网页；依据检索核对</x:v>
      </x:c>
      <x:c r="L127" t="str"/>
      <x:c r="M127" t="str">
        <x:v>参保≠领取待遇；GDP不等于财政支出</x:v>
      </x:c>
    </x:row>
    <x:row r="128">
      <x:c r="A128" t="str">
        <x:v>360000</x:v>
      </x:c>
      <x:c r="B128" t="str">
        <x:v>江西省</x:v>
      </x:c>
      <x:c r="C128" t="str">
        <x:v>省</x:v>
      </x:c>
      <x:c r="D128" t="str">
        <x:v>2025</x:v>
      </x:c>
      <x:c r="E128" t="str">
        <x:v>pension_employee_enrolled</x:v>
      </x:c>
      <x:c r="F128" t="n">
        <x:v>15178000</x:v>
      </x:c>
      <x:c r="G128" t="str">
        <x:v>人</x:v>
      </x:c>
      <x:c r="H128" t="str">
        <x:v>全省</x:v>
      </x:c>
      <x:c r="I128" t="str">
        <x:v>S01</x:v>
      </x:c>
      <x:c r="J128" t="str">
        <x:v>A_官方公报刊载</x:v>
      </x:c>
      <x:c r="K128" t="str">
        <x:v>未备份原始网页；依据检索核对</x:v>
      </x:c>
      <x:c r="L128" t="str"/>
      <x:c r="M128" t="str">
        <x:v>参保≠领取待遇；GDP不等于财政支出</x:v>
      </x:c>
    </x:row>
    <x:row r="129">
      <x:c r="A129" t="str">
        <x:v>360000</x:v>
      </x:c>
      <x:c r="B129" t="str">
        <x:v>江西省</x:v>
      </x:c>
      <x:c r="C129" t="str">
        <x:v>省</x:v>
      </x:c>
      <x:c r="D129" t="str">
        <x:v>2025</x:v>
      </x:c>
      <x:c r="E129" t="str">
        <x:v>pension_resident_enrolled</x:v>
      </x:c>
      <x:c r="F129" t="n">
        <x:v>19030000</x:v>
      </x:c>
      <x:c r="G129" t="str">
        <x:v>人</x:v>
      </x:c>
      <x:c r="H129" t="str">
        <x:v>全省</x:v>
      </x:c>
      <x:c r="I129" t="str">
        <x:v>S01</x:v>
      </x:c>
      <x:c r="J129" t="str">
        <x:v>A_官方公报刊载</x:v>
      </x:c>
      <x:c r="K129" t="str">
        <x:v>未备份原始网页；依据检索核对</x:v>
      </x:c>
      <x:c r="L129" t="str"/>
      <x:c r="M129" t="str">
        <x:v>参保≠领取待遇；GDP不等于财政支出</x:v>
      </x:c>
    </x:row>
    <x:row r="130">
      <x:c r="A130" t="str">
        <x:v>360000</x:v>
      </x:c>
      <x:c r="B130" t="str">
        <x:v>江西省</x:v>
      </x:c>
      <x:c r="C130" t="str">
        <x:v>省</x:v>
      </x:c>
      <x:c r="D130" t="str">
        <x:v>2025</x:v>
      </x:c>
      <x:c r="E130" t="str">
        <x:v>gdp</x:v>
      </x:c>
      <x:c r="F130" t="n">
        <x:v>36020</x:v>
      </x:c>
      <x:c r="G130" t="str">
        <x:v>亿元</x:v>
      </x:c>
      <x:c r="H130" t="str">
        <x:v>全省</x:v>
      </x:c>
      <x:c r="I130" t="str">
        <x:v>S01</x:v>
      </x:c>
      <x:c r="J130" t="str">
        <x:v>A_官方公报刊载</x:v>
      </x:c>
      <x:c r="K130" t="str">
        <x:v>未备份原始网页；依据检索核对</x:v>
      </x:c>
      <x:c r="L130" t="str"/>
      <x:c r="M130" t="str">
        <x:v>参保≠领取待遇；GDP不等于财政支出</x:v>
      </x:c>
    </x:row>
    <x:row r="131">
      <x:c r="A131" t="str">
        <x:v>360000</x:v>
      </x:c>
      <x:c r="B131" t="str">
        <x:v>江西省</x:v>
      </x:c>
      <x:c r="C131" t="str">
        <x:v>省</x:v>
      </x:c>
      <x:c r="D131" t="str">
        <x:v>2024</x:v>
      </x:c>
      <x:c r="E131" t="str">
        <x:v>resident_population_year_end</x:v>
      </x:c>
      <x:c r="F131" t="n">
        <x:v>45020000</x:v>
      </x:c>
      <x:c r="G131" t="str">
        <x:v>人</x:v>
      </x:c>
      <x:c r="H131" t="str">
        <x:v>全省</x:v>
      </x:c>
      <x:c r="I131" t="str">
        <x:v>S01</x:v>
      </x:c>
      <x:c r="J131" t="str">
        <x:v>A_官方公报刊载</x:v>
      </x:c>
      <x:c r="K131" t="str">
        <x:v>未备份原始网页；依据检索核对</x:v>
      </x:c>
      <x:c r="L131" t="str"/>
      <x:c r="M131" t="str">
        <x:v>据2025年末4474万人、同比减少28万人反推（比较基期）</x:v>
      </x:c>
    </x:row>
    <x:row r="132">
      <x:c r="A132" t="str">
        <x:v>360000</x:v>
      </x:c>
      <x:c r="B132" t="str">
        <x:v>江西省</x:v>
      </x:c>
      <x:c r="C132" t="str">
        <x:v>省</x:v>
      </x:c>
      <x:c r="D132" t="str">
        <x:v>2025</x:v>
      </x:c>
      <x:c r="E132" t="str">
        <x:v>provident_contributors</x:v>
      </x:c>
      <x:c r="F132" t="n">
        <x:v>3537700</x:v>
      </x:c>
      <x:c r="G132" t="str">
        <x:v>人</x:v>
      </x:c>
      <x:c r="H132" t="str">
        <x:v>全省</x:v>
      </x:c>
      <x:c r="I132" t="str">
        <x:v>S08</x:v>
      </x:c>
      <x:c r="J132" t="str">
        <x:v>A_官方部门发布</x:v>
      </x:c>
      <x:c r="K132" t="str">
        <x:v>未备份原始网页；依据检索核对</x:v>
      </x:c>
      <x:c r="L132" t="str"/>
      <x:c r="M132" t="str">
        <x:v>公积金并非养老保险，2025年报总体指标</x:v>
      </x:c>
    </x:row>
    <x:row r="133">
      <x:c r="A133" t="str">
        <x:v>360000</x:v>
      </x:c>
      <x:c r="B133" t="str">
        <x:v>江西省</x:v>
      </x:c>
      <x:c r="C133" t="str">
        <x:v>省</x:v>
      </x:c>
      <x:c r="D133" t="str">
        <x:v>2025</x:v>
      </x:c>
      <x:c r="E133" t="str">
        <x:v>provident_annual_deposit</x:v>
      </x:c>
      <x:c r="F133" t="n">
        <x:v>728.52</x:v>
      </x:c>
      <x:c r="G133" t="str">
        <x:v>亿元</x:v>
      </x:c>
      <x:c r="H133" t="str">
        <x:v>全省</x:v>
      </x:c>
      <x:c r="I133" t="str">
        <x:v>S08</x:v>
      </x:c>
      <x:c r="J133" t="str">
        <x:v>A_官方部门发布</x:v>
      </x:c>
      <x:c r="K133" t="str">
        <x:v>未备份原始网页；依据检索核对</x:v>
      </x:c>
      <x:c r="L133" t="str"/>
      <x:c r="M133" t="str">
        <x:v>公积金并非养老保险，2025年报总体指标</x:v>
      </x:c>
    </x:row>
    <x:row r="134">
      <x:c r="A134" t="str">
        <x:v>360000</x:v>
      </x:c>
      <x:c r="B134" t="str">
        <x:v>江西省</x:v>
      </x:c>
      <x:c r="C134" t="str">
        <x:v>省</x:v>
      </x:c>
      <x:c r="D134" t="str">
        <x:v>2025</x:v>
      </x:c>
      <x:c r="E134" t="str">
        <x:v>provident_annual_withdrawal</x:v>
      </x:c>
      <x:c r="F134" t="n">
        <x:v>503.42</x:v>
      </x:c>
      <x:c r="G134" t="str">
        <x:v>亿元</x:v>
      </x:c>
      <x:c r="H134" t="str">
        <x:v>全省</x:v>
      </x:c>
      <x:c r="I134" t="str">
        <x:v>S08</x:v>
      </x:c>
      <x:c r="J134" t="str">
        <x:v>A_官方部门发布</x:v>
      </x:c>
      <x:c r="K134" t="str">
        <x:v>未备份原始网页；依据检索核对</x:v>
      </x:c>
      <x:c r="L134" t="str"/>
      <x:c r="M134" t="str">
        <x:v>公积金并非养老保险，2025年报总体指标</x:v>
      </x:c>
    </x:row>
    <x:row r="135">
      <x:c r="A135" t="str">
        <x:v>360000</x:v>
      </x:c>
      <x:c r="B135" t="str">
        <x:v>江西省</x:v>
      </x:c>
      <x:c r="C135" t="str">
        <x:v>省</x:v>
      </x:c>
      <x:c r="D135" t="str">
        <x:v>2025</x:v>
      </x:c>
      <x:c r="E135" t="str">
        <x:v>provident_annual_loans</x:v>
      </x:c>
      <x:c r="F135" t="n">
        <x:v>282.16</x:v>
      </x:c>
      <x:c r="G135" t="str">
        <x:v>亿元</x:v>
      </x:c>
      <x:c r="H135" t="str">
        <x:v>全省</x:v>
      </x:c>
      <x:c r="I135" t="str">
        <x:v>S08</x:v>
      </x:c>
      <x:c r="J135" t="str">
        <x:v>A_官方部门发布</x:v>
      </x:c>
      <x:c r="K135" t="str">
        <x:v>未备份原始网页；依据检索核对</x:v>
      </x:c>
      <x:c r="L135" t="str"/>
      <x:c r="M135" t="str">
        <x:v>公积金并非养老保险，2025年报总体指标</x:v>
      </x:c>
    </x:row>
    <x:row r="136">
      <x:c r="A136" t="str">
        <x:v>360000</x:v>
      </x:c>
      <x:c r="B136" t="str">
        <x:v>江西省</x:v>
      </x:c>
      <x:c r="C136" t="str">
        <x:v>省</x:v>
      </x:c>
      <x:c r="D136" t="str">
        <x:v>2025</x:v>
      </x:c>
      <x:c r="E136" t="str">
        <x:v>urban_nonprivate_avg_wage</x:v>
      </x:c>
      <x:c r="F136" t="n">
        <x:v>99446</x:v>
      </x:c>
      <x:c r="G136" t="str">
        <x:v>元</x:v>
      </x:c>
      <x:c r="H136" t="str">
        <x:v>对应城镇就业单位类型</x:v>
      </x:c>
      <x:c r="I136" t="str">
        <x:v>S11</x:v>
      </x:c>
      <x:c r="J136" t="str">
        <x:v>A_政府系统转载</x:v>
      </x:c>
      <x:c r="K136" t="str">
        <x:v>未备份原始网页；依据检索核对</x:v>
      </x:c>
      <x:c r="L136" t="str"/>
      <x:c r="M136" t="str">
        <x:v>不同统计样本，不等于同岗位劳动者工资差</x:v>
      </x:c>
    </x:row>
    <x:row r="137">
      <x:c r="A137" t="str">
        <x:v>360000</x:v>
      </x:c>
      <x:c r="B137" t="str">
        <x:v>江西省</x:v>
      </x:c>
      <x:c r="C137" t="str">
        <x:v>省</x:v>
      </x:c>
      <x:c r="D137" t="str">
        <x:v>2025</x:v>
      </x:c>
      <x:c r="E137" t="str">
        <x:v>urban_private_avg_wage</x:v>
      </x:c>
      <x:c r="F137" t="n">
        <x:v>57223</x:v>
      </x:c>
      <x:c r="G137" t="str">
        <x:v>元</x:v>
      </x:c>
      <x:c r="H137" t="str">
        <x:v>对应城镇就业单位类型</x:v>
      </x:c>
      <x:c r="I137" t="str">
        <x:v>S11</x:v>
      </x:c>
      <x:c r="J137" t="str">
        <x:v>A_政府系统转载</x:v>
      </x:c>
      <x:c r="K137" t="str">
        <x:v>未备份原始网页；依据检索核对</x:v>
      </x:c>
      <x:c r="L137" t="str"/>
      <x:c r="M137" t="str">
        <x:v>不同统计样本，不等于同岗位劳动者工资差</x:v>
      </x:c>
    </x:row>
    <x:row r="138">
      <x:c r="A138" t="str">
        <x:v>360000</x:v>
      </x:c>
      <x:c r="B138" t="str">
        <x:v>江西省</x:v>
      </x:c>
      <x:c r="C138" t="str">
        <x:v>全省</x:v>
      </x:c>
      <x:c r="D138" t="str">
        <x:v>2025</x:v>
      </x:c>
      <x:c r="E138" t="str">
        <x:v>social_insurance_budget_executed_income</x:v>
      </x:c>
      <x:c r="F138" t="n">
        <x:v>2735.8</x:v>
      </x:c>
      <x:c r="G138" t="str">
        <x:v>亿元</x:v>
      </x:c>
      <x:c r="H138" t="str">
        <x:v>社保基金预算</x:v>
      </x:c>
      <x:c r="I138" t="str">
        <x:v>S09</x:v>
      </x:c>
      <x:c r="J138" t="str">
        <x:v>A_人大/财政公开</x:v>
      </x:c>
      <x:c r="K138" t="str">
        <x:v>未备份原始网页；依据检索核对</x:v>
      </x:c>
      <x:c r="L138" t="str"/>
      <x:c r="M138" t="str">
        <x:v>包含多险种，2025全省执行与省级决算绝不可直接做差</x:v>
      </x:c>
    </x:row>
    <x:row r="139">
      <x:c r="A139" t="str">
        <x:v>360000</x:v>
      </x:c>
      <x:c r="B139" t="str">
        <x:v>江西省</x:v>
      </x:c>
      <x:c r="C139" t="str">
        <x:v>全省</x:v>
      </x:c>
      <x:c r="D139" t="str">
        <x:v>2025</x:v>
      </x:c>
      <x:c r="E139" t="str">
        <x:v>social_insurance_budget_executed_expenditure</x:v>
      </x:c>
      <x:c r="F139" t="n">
        <x:v>2603</x:v>
      </x:c>
      <x:c r="G139" t="str">
        <x:v>亿元</x:v>
      </x:c>
      <x:c r="H139" t="str">
        <x:v>社保基金预算</x:v>
      </x:c>
      <x:c r="I139" t="str">
        <x:v>S09</x:v>
      </x:c>
      <x:c r="J139" t="str">
        <x:v>A_人大/财政公开</x:v>
      </x:c>
      <x:c r="K139" t="str">
        <x:v>未备份原始网页；依据检索核对</x:v>
      </x:c>
      <x:c r="L139" t="str"/>
      <x:c r="M139" t="str">
        <x:v>包含多险种，2025全省执行与省级决算绝不可直接做差</x:v>
      </x:c>
    </x:row>
    <x:row r="140">
      <x:c r="A140" t="str">
        <x:v>360000</x:v>
      </x:c>
      <x:c r="B140" t="str">
        <x:v>江西省</x:v>
      </x:c>
      <x:c r="C140" t="str">
        <x:v>全省</x:v>
      </x:c>
      <x:c r="D140" t="str">
        <x:v>2025</x:v>
      </x:c>
      <x:c r="E140" t="str">
        <x:v>social_insurance_budget_executed_balance</x:v>
      </x:c>
      <x:c r="F140" t="n">
        <x:v>132.8</x:v>
      </x:c>
      <x:c r="G140" t="str">
        <x:v>亿元</x:v>
      </x:c>
      <x:c r="H140" t="str">
        <x:v>社保基金预算</x:v>
      </x:c>
      <x:c r="I140" t="str">
        <x:v>S09</x:v>
      </x:c>
      <x:c r="J140" t="str">
        <x:v>A_人大/财政公开</x:v>
      </x:c>
      <x:c r="K140" t="str">
        <x:v>未备份原始网页；依据检索核对</x:v>
      </x:c>
      <x:c r="L140" t="str"/>
      <x:c r="M140" t="str">
        <x:v>包含多险种，2025全省执行与省级决算绝不可直接做差</x:v>
      </x:c>
    </x:row>
    <x:row r="141">
      <x:c r="A141" t="str">
        <x:v>360000</x:v>
      </x:c>
      <x:c r="B141" t="str">
        <x:v>江西省</x:v>
      </x:c>
      <x:c r="C141" t="str">
        <x:v>全省</x:v>
      </x:c>
      <x:c r="D141" t="str">
        <x:v>2025</x:v>
      </x:c>
      <x:c r="E141" t="str">
        <x:v>social_insurance_budget_executed_rollover</x:v>
      </x:c>
      <x:c r="F141" t="n">
        <x:v>2610</x:v>
      </x:c>
      <x:c r="G141" t="str">
        <x:v>亿元</x:v>
      </x:c>
      <x:c r="H141" t="str">
        <x:v>社保基金预算</x:v>
      </x:c>
      <x:c r="I141" t="str">
        <x:v>S09</x:v>
      </x:c>
      <x:c r="J141" t="str">
        <x:v>A_人大/财政公开</x:v>
      </x:c>
      <x:c r="K141" t="str">
        <x:v>未备份原始网页；依据检索核对</x:v>
      </x:c>
      <x:c r="L141" t="str"/>
      <x:c r="M141" t="str">
        <x:v>包含多险种，2025全省执行与省级决算绝不可直接做差</x:v>
      </x:c>
    </x:row>
    <x:row r="142">
      <x:c r="A142" t="str">
        <x:v>360000</x:v>
      </x:c>
      <x:c r="B142" t="str">
        <x:v>江西省</x:v>
      </x:c>
      <x:c r="C142" t="str">
        <x:v>省级</x:v>
      </x:c>
      <x:c r="D142" t="str">
        <x:v>2025</x:v>
      </x:c>
      <x:c r="E142" t="str">
        <x:v>social_insurance_budget_provincial_final_income</x:v>
      </x:c>
      <x:c r="F142" t="n">
        <x:v>1398.9</x:v>
      </x:c>
      <x:c r="G142" t="str">
        <x:v>亿元</x:v>
      </x:c>
      <x:c r="H142" t="str">
        <x:v>社保基金预算</x:v>
      </x:c>
      <x:c r="I142" t="str">
        <x:v>S10</x:v>
      </x:c>
      <x:c r="J142" t="str">
        <x:v>A_人大/财政公开</x:v>
      </x:c>
      <x:c r="K142" t="str">
        <x:v>未备份原始网页；依据检索核对</x:v>
      </x:c>
      <x:c r="L142" t="str"/>
      <x:c r="M142" t="str">
        <x:v>包含多险种，2025全省执行与省级决算绝不可直接做差</x:v>
      </x:c>
    </x:row>
    <x:row r="143">
      <x:c r="A143" t="str">
        <x:v>360000</x:v>
      </x:c>
      <x:c r="B143" t="str">
        <x:v>江西省</x:v>
      </x:c>
      <x:c r="C143" t="str">
        <x:v>省级</x:v>
      </x:c>
      <x:c r="D143" t="str">
        <x:v>2025</x:v>
      </x:c>
      <x:c r="E143" t="str">
        <x:v>social_insurance_budget_provincial_final_expenditure</x:v>
      </x:c>
      <x:c r="F143" t="n">
        <x:v>1372.9</x:v>
      </x:c>
      <x:c r="G143" t="str">
        <x:v>亿元</x:v>
      </x:c>
      <x:c r="H143" t="str">
        <x:v>社保基金预算</x:v>
      </x:c>
      <x:c r="I143" t="str">
        <x:v>S10</x:v>
      </x:c>
      <x:c r="J143" t="str">
        <x:v>A_人大/财政公开</x:v>
      </x:c>
      <x:c r="K143" t="str">
        <x:v>未备份原始网页；依据检索核对</x:v>
      </x:c>
      <x:c r="L143" t="str"/>
      <x:c r="M143" t="str">
        <x:v>包含多险种，2025全省执行与省级决算绝不可直接做差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7" hidden="0" customWidth="1"/>
    <x:col min="3" max="3" width="21" hidden="0" customWidth="1"/>
    <x:col min="4" max="4" width="21" hidden="0" customWidth="1"/>
    <x:col min="5" max="5" width="25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36" hidden="0" customWidth="1"/>
    <x:col min="11" max="11" width="19" hidden="0" customWidth="1"/>
    <x:col min="12" max="12" width="13" hidden="0" customWidth="1"/>
    <x:col min="13" max="13" width="29" hidden="0" customWidth="1"/>
  </x:cols>
  <x:sheetData>
    <x:row r="1" ht="29" customHeight="1">
      <x:c r="A1" s="89" t="str">
        <x:v>年</x:v>
      </x:c>
      <x:c r="B1" s="89" t="str">
        <x:v>群体</x:v>
      </x:c>
      <x:c r="C1" s="89" t="str">
        <x:v>年末领取人数(人)</x:v>
      </x:c>
      <x:c r="D1" s="89" t="str">
        <x:v>年度待遇金额(万元)</x:v>
      </x:c>
      <x:c r="E1" s="89" t="str">
        <x:v>在职参保或实际缴费</x:v>
      </x:c>
      <x:c r="F1" s="89" t="str">
        <x:v>征缴基金(万元)</x:v>
      </x:c>
      <x:c r="G1" s="89" t="str">
        <x:v>估算月待遇(元)</x:v>
      </x:c>
      <x:c r="H1" s="89" t="str">
        <x:v>人数占比</x:v>
      </x:c>
      <x:c r="I1" s="89" t="str">
        <x:v>金额占比</x:v>
      </x:c>
      <x:c r="J1" s="89" t="str">
        <x:v>缴费者与领取者比值(混合口径)</x:v>
      </x:c>
      <x:c r="K1" s="89" t="str">
        <x:v>各组年发放合计</x:v>
      </x:c>
      <x:c r="L1" s="89" t="str">
        <x:v>来源</x:v>
      </x:c>
      <x:c r="M1" s="89" t="str">
        <x:v>证据状态</x:v>
      </x:c>
    </x:row>
    <x:row r="2">
      <x:c r="A2" t="n">
        <x:v>2024</x:v>
      </x:c>
      <x:c r="B2" t="str">
        <x:v>企业职工</x:v>
      </x:c>
      <x:c r="C2" t="n">
        <x:v>10779</x:v>
      </x:c>
      <x:c r="D2" t="n">
        <x:v>26955.46</x:v>
      </x:c>
      <x:c r="E2" t="n">
        <x:v>24495</x:v>
      </x:c>
      <x:c r="F2" t="n">
        <x:v>18642.9</x:v>
      </x:c>
      <x:c r="G2" s="90" t="n">
        <x:f>IFERROR(D2*10000/C2/12,"")</x:f>
        <x:v>2083.948727463896</x:v>
      </x:c>
      <x:c r="H2" s="18" t="n">
        <x:f>IFERROR(C2/SUM(C$2:C$4),"")</x:f>
        <x:v>0.2747852244627425</x:v>
      </x:c>
      <x:c r="I2" s="18" t="n">
        <x:f>IFERROR(D2/SUM(D$2:D$4),"")</x:f>
        <x:v>0.5599345082028849</x:v>
      </x:c>
      <x:c r="J2" t="n">
        <x:f>IFERROR(E2/C2,"")</x:f>
        <x:v>2.272474255496799</x:v>
      </x:c>
      <x:c r="K2" t="n">
        <x:f>SUM(D$2:D$4)</x:f>
        <x:v>48140.380000000005</x:v>
      </x:c>
      <x:c r="L2" t="str">
        <x:v>S03</x:v>
      </x:c>
      <x:c r="M2" t="str">
        <x:v>B_转载待官方终核</x:v>
      </x:c>
    </x:row>
    <x:row r="3">
      <x:c r="A3" t="n">
        <x:v>2024</x:v>
      </x:c>
      <x:c r="B3" t="str">
        <x:v>机关事业</x:v>
      </x:c>
      <x:c r="C3" t="n">
        <x:v>2453</x:v>
      </x:c>
      <x:c r="D3" t="n">
        <x:v>15209.48</x:v>
      </x:c>
      <x:c r="E3" t="n">
        <x:v>4977</x:v>
      </x:c>
      <x:c r="F3" t="n">
        <x:v>11378.18</x:v>
      </x:c>
      <x:c r="G3" s="90" t="n">
        <x:f>IFERROR(D3*10000/C3/12,"")</x:f>
        <x:v>5166.96562032885</x:v>
      </x:c>
      <x:c r="H3" s="18" t="n">
        <x:f>IFERROR(C3/SUM(C$2:C$4),"")</x:f>
        <x:v>0.0625334590970505</x:v>
      </x:c>
      <x:c r="I3" s="18" t="n">
        <x:f>IFERROR(D3/SUM(D$2:D$4),"")</x:f>
        <x:v>0.3159401733014986</x:v>
      </x:c>
      <x:c r="J3" t="n">
        <x:f>IFERROR(E3/C3,"")</x:f>
        <x:v>2.0289441500203833</x:v>
      </x:c>
      <x:c r="K3" t="n">
        <x:f>SUM(D$2:D$4)</x:f>
        <x:v>48140.380000000005</x:v>
      </x:c>
      <x:c r="L3" t="str">
        <x:v>S03</x:v>
      </x:c>
      <x:c r="M3" t="str">
        <x:v>B_转载待官方终核</x:v>
      </x:c>
    </x:row>
    <x:row r="4">
      <x:c r="A4" t="n">
        <x:v>2024</x:v>
      </x:c>
      <x:c r="B4" t="str">
        <x:v>城乡居民</x:v>
      </x:c>
      <x:c r="C4" t="n">
        <x:v>25995</x:v>
      </x:c>
      <x:c r="D4" t="n">
        <x:v>5975.44</x:v>
      </x:c>
      <x:c r="E4" t="n">
        <x:v>33989</x:v>
      </x:c>
      <x:c r="F4" t="n">
        <x:v>4208.58</x:v>
      </x:c>
      <x:c r="G4" s="90" t="n">
        <x:f>IFERROR(D4*10000/C4/12,"")</x:f>
        <x:v>191.55735077258444</x:v>
      </x:c>
      <x:c r="H4" s="18" t="n">
        <x:f>IFERROR(C4/SUM(C$2:C$4),"")</x:f>
        <x:v>0.662681316440207</x:v>
      </x:c>
      <x:c r="I4" s="18" t="n">
        <x:f>IFERROR(D4/SUM(D$2:D$4),"")</x:f>
        <x:v>0.12412531849561634</x:v>
      </x:c>
      <x:c r="J4" t="n">
        <x:f>IFERROR(E4/C4,"")</x:f>
        <x:v>1.3075206770532795</x:v>
      </x:c>
      <x:c r="K4" t="n">
        <x:f>SUM(D$2:D$4)</x:f>
        <x:v>48140.380000000005</x:v>
      </x:c>
      <x:c r="L4" t="str">
        <x:v>S03</x:v>
      </x:c>
      <x:c r="M4" t="str">
        <x:v>B_转载待官方终核</x:v>
      </x:c>
    </x:row>
    <x:row r="5">
      <x:c r="A5" t="n">
        <x:v>2025</x:v>
      </x:c>
      <x:c r="B5" t="str">
        <x:v>企业职工</x:v>
      </x:c>
      <x:c r="C5" t="n">
        <x:v>11273</x:v>
      </x:c>
      <x:c r="D5" t="n">
        <x:v>29571.25</x:v>
      </x:c>
      <x:c r="E5" t="n">
        <x:v>23914</x:v>
      </x:c>
      <x:c r="F5" t="n">
        <x:v>20208.14</x:v>
      </x:c>
      <x:c r="G5" s="90" t="n">
        <x:f>IFERROR(D5*10000/C5/12,"")</x:f>
        <x:v>2185.9938200419883</x:v>
      </x:c>
      <x:c r="H5" s="18" t="n">
        <x:f>IFERROR(C5/SUM(C$5:C$7),"")</x:f>
        <x:v>0.27396228249246624</x:v>
      </x:c>
      <x:c r="I5" s="18" t="n">
        <x:f>IFERROR(D5/SUM(D$5:D$7),"")</x:f>
        <x:v>0.5506690989184847</x:v>
      </x:c>
      <x:c r="J5" t="n">
        <x:f>IFERROR(E5/C5,"")</x:f>
        <x:v>2.1213519027765457</x:v>
      </x:c>
      <x:c r="K5" t="n">
        <x:f>SUM(D$5:D$7)</x:f>
        <x:v>53700.58</x:v>
      </x:c>
      <x:c r="L5" t="str">
        <x:v>S02</x:v>
      </x:c>
      <x:c r="M5" t="str">
        <x:v>B_转载待官方终核</x:v>
      </x:c>
    </x:row>
    <x:row r="6">
      <x:c r="A6" t="n">
        <x:v>2025</x:v>
      </x:c>
      <x:c r="B6" t="str">
        <x:v>机关事业</x:v>
      </x:c>
      <x:c r="C6" t="n">
        <x:v>2508</x:v>
      </x:c>
      <x:c r="D6" t="n">
        <x:v>16218.5</x:v>
      </x:c>
      <x:c r="E6" t="n">
        <x:v>4952</x:v>
      </x:c>
      <x:c r="F6" t="n">
        <x:v>11723.52</x:v>
      </x:c>
      <x:c r="G6" s="90" t="n">
        <x:f>IFERROR(D6*10000/C6/12,"")</x:f>
        <x:v>5388.9221158958</x:v>
      </x:c>
      <x:c r="H6" s="18" t="n">
        <x:f>IFERROR(C6/SUM(C$5:C$7),"")</x:f>
        <x:v>0.060950714494021584</x:v>
      </x:c>
      <x:c r="I6" s="18" t="n">
        <x:f>IFERROR(D6/SUM(D$5:D$7),"")</x:f>
        <x:v>0.30201722216035654</x:v>
      </x:c>
      <x:c r="J6" t="n">
        <x:f>IFERROR(E6/C6,"")</x:f>
        <x:v>1.974481658692185</x:v>
      </x:c>
      <x:c r="K6" t="n">
        <x:f>SUM(D$5:D$7)</x:f>
        <x:v>53700.58</x:v>
      </x:c>
      <x:c r="L6" t="str">
        <x:v>S02</x:v>
      </x:c>
      <x:c r="M6" t="str">
        <x:v>B_转载待官方终核</x:v>
      </x:c>
    </x:row>
    <x:row r="7">
      <x:c r="A7" t="n">
        <x:v>2025</x:v>
      </x:c>
      <x:c r="B7" t="str">
        <x:v>城乡居民</x:v>
      </x:c>
      <x:c r="C7" t="n">
        <x:v>27367</x:v>
      </x:c>
      <x:c r="D7" t="n">
        <x:v>7910.83</x:v>
      </x:c>
      <x:c r="E7" t="n">
        <x:v>31028</x:v>
      </x:c>
      <x:c r="F7" t="n">
        <x:v>5134.06</x:v>
      </x:c>
      <x:c r="G7" s="90" t="n">
        <x:f>IFERROR(D7*10000/C7/12,"")</x:f>
        <x:v>240.8871390117051</x:v>
      </x:c>
      <x:c r="H7" s="18" t="n">
        <x:f>IFERROR(C7/SUM(C$5:C$7),"")</x:f>
        <x:v>0.6650870030135122</x:v>
      </x:c>
      <x:c r="I7" s="18" t="n">
        <x:f>IFERROR(D7/SUM(D$5:D$7),"")</x:f>
        <x:v>0.14731367892115876</x:v>
      </x:c>
      <x:c r="J7" t="n">
        <x:f>IFERROR(E7/C7,"")</x:f>
        <x:v>1.133774253663171</x:v>
      </x:c>
      <x:c r="K7" t="n">
        <x:f>SUM(D$5:D$7)</x:f>
        <x:v>53700.58</x:v>
      </x:c>
      <x:c r="L7" t="str">
        <x:v>S02</x:v>
      </x:c>
      <x:c r="M7" t="str">
        <x:v>B_转载待官方终核</x:v>
      </x:c>
    </x:row>
  </x:sheetData>
  <x:pageMargins left="0.7" right="0.7" top="0.75" bottom="0.75" header="0.3" footer="0.3"/>
  <x:drawing xmlns:r="http://schemas.openxmlformats.org/officeDocument/2006/relationships" r:id="Rf90efc7725034486"/>
</x:worksheet>
</file>

<file path=xl/worksheets/sheet2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7" hidden="0" customWidth="1"/>
    <x:col min="5" max="5" width="26" hidden="0" customWidth="1"/>
    <x:col min="6" max="6" width="30" hidden="0" customWidth="1"/>
    <x:col min="7" max="7" width="16" hidden="0" customWidth="1"/>
    <x:col min="8" max="8" width="15" hidden="0" customWidth="1"/>
    <x:col min="9" max="9" width="61" hidden="0" customWidth="1"/>
  </x:cols>
  <x:sheetData>
    <x:row r="1" ht="29" customHeight="1">
      <x:c r="A1" s="89" t="str">
        <x:v>群体</x:v>
      </x:c>
      <x:c r="B1" s="89" t="str">
        <x:v>2024发放万元</x:v>
      </x:c>
      <x:c r="C1" s="89" t="str">
        <x:v>2025发放万元</x:v>
      </x:c>
      <x:c r="D1" s="89" t="str">
        <x:v>总变化万元</x:v>
      </x:c>
      <x:c r="E1" s="89" t="str">
        <x:v>人数结构分量万元</x:v>
      </x:c>
      <x:c r="F1" s="89" t="str">
        <x:v>人均发放代理变化分量万元</x:v>
      </x:c>
      <x:c r="G1" s="89" t="str">
        <x:v>检验误差</x:v>
      </x:c>
      <x:c r="H1" s="89" t="str">
        <x:v>同比</x:v>
      </x:c>
      <x:c r="I1" s="89" t="str">
        <x:v>说明</x:v>
      </x:c>
    </x:row>
    <x:row r="2">
      <x:c r="A2" t="str">
        <x:v>企业职工</x:v>
      </x:c>
      <x:c r="B2" t="n">
        <x:f>'峡江养老金_复算'!D2</x:f>
        <x:v>26955.46</x:v>
      </x:c>
      <x:c r="C2" t="n">
        <x:f>'峡江养老金_复算'!D5</x:f>
        <x:v>29571.25</x:v>
      </x:c>
      <x:c r="D2" t="n">
        <x:f>C2-B2</x:f>
        <x:v>2615.790000000001</x:v>
      </x:c>
      <x:c r="E2" t="n">
        <x:f>('峡江养老金_复算'!C5-'峡江养老金_复算'!C2)*(B2/'峡江养老金_复算'!C2+C2/'峡江养老金_复算'!C5)/2</x:f>
        <x:v>1265.610971080744</x:v>
      </x:c>
      <x:c r="F2" t="n">
        <x:f>(C2/'峡江养老金_复算'!C5-B2/'峡江养老金_复算'!C2)*('峡江养老金_复算'!C2+'峡江养老金_复算'!C5)/2</x:f>
        <x:v>1350.179028919257</x:v>
      </x:c>
      <x:c r="G2" t="n">
        <x:f>D2-E2-F2</x:f>
        <x:v>-2.2737367544323206e-13</x:v>
      </x:c>
      <x:c r="H2" s="91" t="n">
        <x:f>IFERROR(D2/B2,"")</x:f>
        <x:v>0.0970411931386072</x:v>
      </x:c>
      <x:c r="I2" t="str">
        <x:v>基于年末人数的对称分解，不代表因果贡献</x:v>
      </x:c>
    </x:row>
    <x:row r="3">
      <x:c r="A3" t="str">
        <x:v>机关事业</x:v>
      </x:c>
      <x:c r="B3" t="n">
        <x:f>'峡江养老金_复算'!D3</x:f>
        <x:v>15209.48</x:v>
      </x:c>
      <x:c r="C3" t="n">
        <x:f>'峡江养老金_复算'!D6</x:f>
        <x:v>16218.5</x:v>
      </x:c>
      <x:c r="D3" t="n">
        <x:f>C3-B3</x:f>
        <x:v>1009.0200000000004</x:v>
      </x:c>
      <x:c r="E3" t="n">
        <x:f>('峡江养老金_复算'!C6-'峡江养老金_复算'!C3)*(B3/'峡江养老金_复算'!C3+C3/'峡江养老金_复算'!C6)/2</x:f>
        <x:v>348.3442952954134</x:v>
      </x:c>
      <x:c r="F3" t="n">
        <x:f>(C3/'峡江养老金_复算'!C6-B3/'峡江养老金_复算'!C3)*('峡江养老金_复算'!C3+'峡江养老金_复算'!C6)/2</x:f>
        <x:v>660.6757047045875</x:v>
      </x:c>
      <x:c r="G3" t="n">
        <x:f>D3-E3-F3</x:f>
        <x:v>-4.547473508864641e-13</x:v>
      </x:c>
      <x:c r="H3" s="91" t="n">
        <x:f>IFERROR(D3/B3,"")</x:f>
        <x:v>0.06634151857920195</x:v>
      </x:c>
      <x:c r="I3" t="str">
        <x:v>基于年末人数的对称分解，不代表因果贡献</x:v>
      </x:c>
    </x:row>
    <x:row r="4">
      <x:c r="A4" t="str">
        <x:v>城乡居民</x:v>
      </x:c>
      <x:c r="B4" t="n">
        <x:f>'峡江养老金_复算'!D4</x:f>
        <x:v>5975.44</x:v>
      </x:c>
      <x:c r="C4" t="n">
        <x:f>'峡江养老金_复算'!D7</x:f>
        <x:v>7910.83</x:v>
      </x:c>
      <x:c r="D4" t="n">
        <x:f>C4-B4</x:f>
        <x:v>1935.3900000000003</x:v>
      </x:c>
      <x:c r="E4" t="n">
        <x:f>('峡江养老金_复算'!C7-'峡江养老金_复算'!C4)*(B4/'峡江养老金_复算'!C4+C4/'峡江养老金_复算'!C7)/2</x:f>
        <x:v>355.9883039904272</x:v>
      </x:c>
      <x:c r="F4" t="n">
        <x:f>(C4/'峡江养老金_复算'!C7-B4/'峡江养老金_复算'!C4)*('峡江养老金_复算'!C4+'峡江养老金_复算'!C7)/2</x:f>
        <x:v>1579.401696009574</x:v>
      </x:c>
      <x:c r="G4" t="n">
        <x:f>D4-E4-F4</x:f>
        <x:v>-6.821210263296962e-13</x:v>
      </x:c>
      <x:c r="H4" s="91" t="n">
        <x:f>IFERROR(D4/B4,"")</x:f>
        <x:v>0.3238907929792619</x:v>
      </x:c>
      <x:c r="I4" t="str">
        <x:v>基于年末人数的对称分解，不代表因果贡献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24" hidden="0" customWidth="1"/>
    <x:col min="4" max="4" width="24" hidden="0" customWidth="1"/>
    <x:col min="5" max="5" width="19" hidden="0" customWidth="1"/>
    <x:col min="6" max="6" width="14" hidden="0" customWidth="1"/>
    <x:col min="7" max="7" width="20" hidden="0" customWidth="1"/>
    <x:col min="8" max="8" width="20" hidden="0" customWidth="1"/>
    <x:col min="9" max="9" width="17" hidden="0" customWidth="1"/>
    <x:col min="10" max="10" width="17" hidden="0" customWidth="1"/>
    <x:col min="11" max="11" width="17" hidden="0" customWidth="1"/>
    <x:col min="12" max="12" width="27" hidden="0" customWidth="1"/>
  </x:cols>
  <x:sheetData>
    <x:row r="1" ht="29" customHeight="1">
      <x:c r="A1" s="89" t="str">
        <x:v>代码</x:v>
      </x:c>
      <x:c r="B1" s="89" t="str">
        <x:v>县区</x:v>
      </x:c>
      <x:c r="C1" s="89" t="str">
        <x:v>2024年末常住人口</x:v>
      </x:c>
      <x:c r="D1" s="89" t="str">
        <x:v>2025年末常住人口</x:v>
      </x:c>
      <x:c r="E1" s="89" t="str">
        <x:v>人数变化</x:v>
      </x:c>
      <x:c r="F1" s="89" t="str">
        <x:v>同比</x:v>
      </x:c>
      <x:c r="G1" s="89" t="str">
        <x:v>2024城镇化率%</x:v>
      </x:c>
      <x:c r="H1" s="89" t="str">
        <x:v>2025城镇化率%</x:v>
      </x:c>
      <x:c r="I1" s="89" t="str">
        <x:v>百分点变化</x:v>
      </x:c>
      <x:c r="J1" s="89" t="str">
        <x:v>2024来源</x:v>
      </x:c>
      <x:c r="K1" s="89" t="str">
        <x:v>2025来源</x:v>
      </x:c>
      <x:c r="L1" s="89" t="str">
        <x:v>核验情况</x:v>
      </x:c>
    </x:row>
    <x:row r="2">
      <x:c r="A2" t="str">
        <x:v>360702</x:v>
      </x:c>
      <x:c r="B2" t="str">
        <x:v>章贡区</x:v>
      </x:c>
      <x:c r="C2" t="n">
        <x:v>715200</x:v>
      </x:c>
      <x:c r="D2" t="n">
        <x:v>718000</x:v>
      </x:c>
      <x:c r="E2" t="n">
        <x:f>D2-C2</x:f>
        <x:v>2800</x:v>
      </x:c>
      <x:c r="F2" s="18" t="n">
        <x:f>IFERROR(E2/C2,"")</x:f>
        <x:v>0.0039149888143176735</x:v>
      </x:c>
      <x:c r="G2" t="n">
        <x:v>90.95</x:v>
      </x:c>
      <x:c r="H2" t="n">
        <x:v>91.47</x:v>
      </x:c>
      <x:c r="I2" t="n">
        <x:f>H2-G2</x:f>
        <x:v>0.519999999999996</x:v>
      </x:c>
      <x:c r="J2" t="str">
        <x:v>S06</x:v>
      </x:c>
      <x:c r="K2" t="str">
        <x:v>S05</x:v>
      </x:c>
      <x:c r="L2" t="str">
        <x:v>A_两年官方原文</x:v>
      </x:c>
    </x:row>
    <x:row r="3">
      <x:c r="A3" t="str">
        <x:v>360703</x:v>
      </x:c>
      <x:c r="B3" t="str">
        <x:v>南康区</x:v>
      </x:c>
      <x:c r="C3" t="n">
        <x:v>835200</x:v>
      </x:c>
      <x:c r="D3" t="n">
        <x:v>838200</x:v>
      </x:c>
      <x:c r="E3" t="n">
        <x:f>D3-C3</x:f>
        <x:v>3000</x:v>
      </x:c>
      <x:c r="F3" s="18" t="n">
        <x:f>IFERROR(E3/C3,"")</x:f>
        <x:v>0.0035919540229885057</x:v>
      </x:c>
      <x:c r="G3" t="n">
        <x:v>62.99</x:v>
      </x:c>
      <x:c r="H3" t="n">
        <x:v>64.61</x:v>
      </x:c>
      <x:c r="I3" t="n">
        <x:f>H3-G3</x:f>
        <x:v>1.6199999999999974</x:v>
      </x:c>
      <x:c r="J3" t="str">
        <x:v>S06</x:v>
      </x:c>
      <x:c r="K3" t="str">
        <x:v>S05</x:v>
      </x:c>
      <x:c r="L3" t="str">
        <x:v>A_两年官方原文</x:v>
      </x:c>
    </x:row>
    <x:row r="4">
      <x:c r="A4" t="str">
        <x:v>360704</x:v>
      </x:c>
      <x:c r="B4" t="str">
        <x:v>赣县区</x:v>
      </x:c>
      <x:c r="C4" t="n">
        <x:v>575900</x:v>
      </x:c>
      <x:c r="D4" t="n">
        <x:v>573400</x:v>
      </x:c>
      <x:c r="E4" t="n">
        <x:f>D4-C4</x:f>
        <x:v>-2500</x:v>
      </x:c>
      <x:c r="F4" s="18" t="n">
        <x:f>IFERROR(E4/C4,"")</x:f>
        <x:v>-0.004341031429067547</x:v>
      </x:c>
      <x:c r="G4" t="n">
        <x:v>57.24</x:v>
      </x:c>
      <x:c r="H4" t="n">
        <x:v>58.48</x:v>
      </x:c>
      <x:c r="I4" t="n">
        <x:f>H4-G4</x:f>
        <x:v>1.2399999999999949</x:v>
      </x:c>
      <x:c r="J4" t="str">
        <x:v>S06</x:v>
      </x:c>
      <x:c r="K4" t="str">
        <x:v>S05</x:v>
      </x:c>
      <x:c r="L4" t="str">
        <x:v>A_两年官方原文</x:v>
      </x:c>
    </x:row>
    <x:row r="5">
      <x:c r="A5" t="str">
        <x:v>360781</x:v>
      </x:c>
      <x:c r="B5" t="str">
        <x:v>瑞金市</x:v>
      </x:c>
      <x:c r="C5" t="n">
        <x:v>610600</x:v>
      </x:c>
      <x:c r="D5" t="n">
        <x:v>606700</x:v>
      </x:c>
      <x:c r="E5" t="n">
        <x:f>D5-C5</x:f>
        <x:v>-3900</x:v>
      </x:c>
      <x:c r="F5" s="18" t="n">
        <x:f>IFERROR(E5/C5,"")</x:f>
        <x:v>-0.006387160170324271</x:v>
      </x:c>
      <x:c r="G5" t="n">
        <x:v>53.69</x:v>
      </x:c>
      <x:c r="H5" t="n">
        <x:v>55.13</x:v>
      </x:c>
      <x:c r="I5" t="n">
        <x:f>H5-G5</x:f>
        <x:v>1.4400000000000048</x:v>
      </x:c>
      <x:c r="J5" t="str">
        <x:v>S06</x:v>
      </x:c>
      <x:c r="K5" t="str">
        <x:v>S05</x:v>
      </x:c>
      <x:c r="L5" t="str">
        <x:v>A_两年官方原文</x:v>
      </x:c>
    </x:row>
    <x:row r="6">
      <x:c r="A6" t="str">
        <x:v>360783</x:v>
      </x:c>
      <x:c r="B6" t="str">
        <x:v>龙南市</x:v>
      </x:c>
      <x:c r="C6" t="n">
        <x:v>316300</x:v>
      </x:c>
      <x:c r="D6" t="n">
        <x:v>316700</x:v>
      </x:c>
      <x:c r="E6" t="n">
        <x:f>D6-C6</x:f>
        <x:v>400</x:v>
      </x:c>
      <x:c r="F6" s="18" t="n">
        <x:f>IFERROR(E6/C6,"")</x:f>
        <x:v>0.001264622194119507</x:v>
      </x:c>
      <x:c r="G6" t="n">
        <x:v>67.78</x:v>
      </x:c>
      <x:c r="H6" t="n">
        <x:v>68.87</x:v>
      </x:c>
      <x:c r="I6" t="n">
        <x:f>H6-G6</x:f>
        <x:v>1.0900000000000034</x:v>
      </x:c>
      <x:c r="J6" t="str">
        <x:v>S06</x:v>
      </x:c>
      <x:c r="K6" t="str">
        <x:v>S05</x:v>
      </x:c>
      <x:c r="L6" t="str">
        <x:v>A_两年官方原文</x:v>
      </x:c>
    </x:row>
    <x:row r="7">
      <x:c r="A7" t="str">
        <x:v>360722</x:v>
      </x:c>
      <x:c r="B7" t="str">
        <x:v>信丰县</x:v>
      </x:c>
      <x:c r="C7" t="n">
        <x:v>672300</x:v>
      </x:c>
      <x:c r="D7" t="n">
        <x:v>672400</x:v>
      </x:c>
      <x:c r="E7" t="n">
        <x:f>D7-C7</x:f>
        <x:v>100</x:v>
      </x:c>
      <x:c r="F7" s="18" t="n">
        <x:f>IFERROR(E7/C7,"")</x:f>
        <x:v>0.00014874312063067083</x:v>
      </x:c>
      <x:c r="G7" t="n">
        <x:v>56.01</x:v>
      </x:c>
      <x:c r="H7" t="n">
        <x:v>57.52</x:v>
      </x:c>
      <x:c r="I7" t="n">
        <x:f>H7-G7</x:f>
        <x:v>1.5100000000000051</x:v>
      </x:c>
      <x:c r="J7" t="str">
        <x:v>S06</x:v>
      </x:c>
      <x:c r="K7" t="str">
        <x:v>S05</x:v>
      </x:c>
      <x:c r="L7" t="str">
        <x:v>A_两年官方原文</x:v>
      </x:c>
    </x:row>
    <x:row r="8">
      <x:c r="A8" t="str">
        <x:v>360723</x:v>
      </x:c>
      <x:c r="B8" t="str">
        <x:v>大余县</x:v>
      </x:c>
      <x:c r="C8" t="n">
        <x:v>261300</x:v>
      </x:c>
      <x:c r="D8" t="n">
        <x:v>260700</x:v>
      </x:c>
      <x:c r="E8" t="n">
        <x:f>D8-C8</x:f>
        <x:v>-600</x:v>
      </x:c>
      <x:c r="F8" s="18" t="n">
        <x:f>IFERROR(E8/C8,"")</x:f>
        <x:v>-0.002296211251435132</x:v>
      </x:c>
      <x:c r="G8" t="n">
        <x:v>57.04</x:v>
      </x:c>
      <x:c r="H8" t="n">
        <x:v>58.48</x:v>
      </x:c>
      <x:c r="I8" t="n">
        <x:f>H8-G8</x:f>
        <x:v>1.4399999999999977</x:v>
      </x:c>
      <x:c r="J8" t="str">
        <x:v>S06</x:v>
      </x:c>
      <x:c r="K8" t="str">
        <x:v>S05</x:v>
      </x:c>
      <x:c r="L8" t="str">
        <x:v>A_两年官方原文</x:v>
      </x:c>
    </x:row>
    <x:row r="9">
      <x:c r="A9" t="str">
        <x:v>360724</x:v>
      </x:c>
      <x:c r="B9" t="str">
        <x:v>上犹县</x:v>
      </x:c>
      <x:c r="C9" t="n">
        <x:v>266900</x:v>
      </x:c>
      <x:c r="D9" t="n">
        <x:v>265700</x:v>
      </x:c>
      <x:c r="E9" t="n">
        <x:f>D9-C9</x:f>
        <x:v>-1200</x:v>
      </x:c>
      <x:c r="F9" s="18" t="n">
        <x:f>IFERROR(E9/C9,"")</x:f>
        <x:v>-0.004496065942300487</x:v>
      </x:c>
      <x:c r="G9" t="n">
        <x:v>51.97</x:v>
      </x:c>
      <x:c r="H9" t="n">
        <x:v>53.44</x:v>
      </x:c>
      <x:c r="I9" t="n">
        <x:f>H9-G9</x:f>
        <x:v>1.4699999999999989</x:v>
      </x:c>
      <x:c r="J9" t="str">
        <x:v>S06</x:v>
      </x:c>
      <x:c r="K9" t="str">
        <x:v>S05</x:v>
      </x:c>
      <x:c r="L9" t="str">
        <x:v>A_两年官方原文</x:v>
      </x:c>
    </x:row>
    <x:row r="10">
      <x:c r="A10" t="str">
        <x:v>360725</x:v>
      </x:c>
      <x:c r="B10" t="str">
        <x:v>崇义县</x:v>
      </x:c>
      <x:c r="C10" t="n">
        <x:v>176300</x:v>
      </x:c>
      <x:c r="D10" t="n">
        <x:v>175700</x:v>
      </x:c>
      <x:c r="E10" t="n">
        <x:f>D10-C10</x:f>
        <x:v>-600</x:v>
      </x:c>
      <x:c r="F10" s="18" t="n">
        <x:f>IFERROR(E10/C10,"")</x:f>
        <x:v>-0.003403289846851957</x:v>
      </x:c>
      <x:c r="G10" t="n">
        <x:v>50.42</x:v>
      </x:c>
      <x:c r="H10" t="n">
        <x:v>51.79</x:v>
      </x:c>
      <x:c r="I10" t="n">
        <x:f>H10-G10</x:f>
        <x:v>1.3699999999999974</x:v>
      </x:c>
      <x:c r="J10" t="str">
        <x:v>S06</x:v>
      </x:c>
      <x:c r="K10" t="str">
        <x:v>S05</x:v>
      </x:c>
      <x:c r="L10" t="str">
        <x:v>A_两年官方原文</x:v>
      </x:c>
    </x:row>
    <x:row r="11">
      <x:c r="A11" t="str">
        <x:v>360726</x:v>
      </x:c>
      <x:c r="B11" t="str">
        <x:v>安远县</x:v>
      </x:c>
      <x:c r="C11" t="n">
        <x:v>343300</x:v>
      </x:c>
      <x:c r="D11" t="n">
        <x:v>342200</x:v>
      </x:c>
      <x:c r="E11" t="n">
        <x:f>D11-C11</x:f>
        <x:v>-1100</x:v>
      </x:c>
      <x:c r="F11" s="18" t="n">
        <x:f>IFERROR(E11/C11,"")</x:f>
        <x:v>-0.003204194581998252</x:v>
      </x:c>
      <x:c r="G11" t="n">
        <x:v>49.92</x:v>
      </x:c>
      <x:c r="H11" t="n">
        <x:v>51.51</x:v>
      </x:c>
      <x:c r="I11" t="n">
        <x:f>H11-G11</x:f>
        <x:v>1.5899999999999963</x:v>
      </x:c>
      <x:c r="J11" t="str">
        <x:v>S06</x:v>
      </x:c>
      <x:c r="K11" t="str">
        <x:v>S05</x:v>
      </x:c>
      <x:c r="L11" t="str">
        <x:v>A_两年官方原文</x:v>
      </x:c>
    </x:row>
    <x:row r="12">
      <x:c r="A12" t="str">
        <x:v>360728</x:v>
      </x:c>
      <x:c r="B12" t="str">
        <x:v>定南县</x:v>
      </x:c>
      <x:c r="C12" t="n">
        <x:v>208500</x:v>
      </x:c>
      <x:c r="D12" t="n">
        <x:v>209700</x:v>
      </x:c>
      <x:c r="E12" t="n">
        <x:f>D12-C12</x:f>
        <x:v>1200</x:v>
      </x:c>
      <x:c r="F12" s="18" t="n">
        <x:f>IFERROR(E12/C12,"")</x:f>
        <x:v>0.0057553956834532375</x:v>
      </x:c>
      <x:c r="G12" t="n">
        <x:v>66.9</x:v>
      </x:c>
      <x:c r="H12" t="n">
        <x:v>68.13</x:v>
      </x:c>
      <x:c r="I12" t="n">
        <x:f>H12-G12</x:f>
        <x:v>1.2299999999999898</x:v>
      </x:c>
      <x:c r="J12" t="str">
        <x:v>S06</x:v>
      </x:c>
      <x:c r="K12" t="str">
        <x:v>S05</x:v>
      </x:c>
      <x:c r="L12" t="str">
        <x:v>A_两年官方原文</x:v>
      </x:c>
    </x:row>
    <x:row r="13">
      <x:c r="A13" t="str">
        <x:v>360729</x:v>
      </x:c>
      <x:c r="B13" t="str">
        <x:v>全南县</x:v>
      </x:c>
      <x:c r="C13" t="n">
        <x:v>168100</x:v>
      </x:c>
      <x:c r="D13" t="n">
        <x:v>168000</x:v>
      </x:c>
      <x:c r="E13" t="n">
        <x:f>D13-C13</x:f>
        <x:v>-100</x:v>
      </x:c>
      <x:c r="F13" s="18" t="n">
        <x:f>IFERROR(E13/C13,"")</x:f>
        <x:v>-0.000594883997620464</x:v>
      </x:c>
      <x:c r="G13" t="n">
        <x:v>58.16</x:v>
      </x:c>
      <x:c r="H13" t="n">
        <x:v>59.53</x:v>
      </x:c>
      <x:c r="I13" t="n">
        <x:f>H13-G13</x:f>
        <x:v>1.3700000000000045</x:v>
      </x:c>
      <x:c r="J13" t="str">
        <x:v>S06</x:v>
      </x:c>
      <x:c r="K13" t="str">
        <x:v>S05</x:v>
      </x:c>
      <x:c r="L13" t="str">
        <x:v>A_两年官方原文</x:v>
      </x:c>
    </x:row>
    <x:row r="14">
      <x:c r="A14" t="str">
        <x:v>360730</x:v>
      </x:c>
      <x:c r="B14" t="str">
        <x:v>宁都县</x:v>
      </x:c>
      <x:c r="C14" t="n">
        <x:v>692900</x:v>
      </x:c>
      <x:c r="D14" t="n">
        <x:v>690500</x:v>
      </x:c>
      <x:c r="E14" t="n">
        <x:f>D14-C14</x:f>
        <x:v>-2400</x:v>
      </x:c>
      <x:c r="F14" s="18" t="n">
        <x:f>IFERROR(E14/C14,"")</x:f>
        <x:v>-0.0034637032760860154</x:v>
      </x:c>
      <x:c r="G14" t="n">
        <x:v>52.58</x:v>
      </x:c>
      <x:c r="H14" t="n">
        <x:v>54.1</x:v>
      </x:c>
      <x:c r="I14" t="n">
        <x:f>H14-G14</x:f>
        <x:v>1.5200000000000031</x:v>
      </x:c>
      <x:c r="J14" t="str">
        <x:v>S06</x:v>
      </x:c>
      <x:c r="K14" t="str">
        <x:v>S05</x:v>
      </x:c>
      <x:c r="L14" t="str">
        <x:v>A_两年官方原文</x:v>
      </x:c>
    </x:row>
    <x:row r="15">
      <x:c r="A15" t="str">
        <x:v>360731</x:v>
      </x:c>
      <x:c r="B15" t="str">
        <x:v>于都县</x:v>
      </x:c>
      <x:c r="C15" t="n">
        <x:v>899600</x:v>
      </x:c>
      <x:c r="D15" t="n">
        <x:v>896200</x:v>
      </x:c>
      <x:c r="E15" t="n">
        <x:f>D15-C15</x:f>
        <x:v>-3400</x:v>
      </x:c>
      <x:c r="F15" s="18" t="n">
        <x:f>IFERROR(E15/C15,"")</x:f>
        <x:v>-0.00377945753668297</x:v>
      </x:c>
      <x:c r="G15" t="n">
        <x:v>47.38</x:v>
      </x:c>
      <x:c r="H15" t="n">
        <x:v>48.9</x:v>
      </x:c>
      <x:c r="I15" t="n">
        <x:f>H15-G15</x:f>
        <x:v>1.519999999999996</x:v>
      </x:c>
      <x:c r="J15" t="str">
        <x:v>S06</x:v>
      </x:c>
      <x:c r="K15" t="str">
        <x:v>S05</x:v>
      </x:c>
      <x:c r="L15" t="str">
        <x:v>A_两年官方原文</x:v>
      </x:c>
    </x:row>
    <x:row r="16">
      <x:c r="A16" t="str">
        <x:v>360732</x:v>
      </x:c>
      <x:c r="B16" t="str">
        <x:v>兴国县</x:v>
      </x:c>
      <x:c r="C16" t="n">
        <x:v>709800</x:v>
      </x:c>
      <x:c r="D16" t="n">
        <x:v>706300</x:v>
      </x:c>
      <x:c r="E16" t="n">
        <x:f>D16-C16</x:f>
        <x:v>-3500</x:v>
      </x:c>
      <x:c r="F16" s="18" t="n">
        <x:f>IFERROR(E16/C16,"")</x:f>
        <x:v>-0.004930966469428008</x:v>
      </x:c>
      <x:c r="G16" t="n">
        <x:v>48.75</x:v>
      </x:c>
      <x:c r="H16" t="n">
        <x:v>50.35</x:v>
      </x:c>
      <x:c r="I16" t="n">
        <x:f>H16-G16</x:f>
        <x:v>1.6000000000000014</x:v>
      </x:c>
      <x:c r="J16" t="str">
        <x:v>S06</x:v>
      </x:c>
      <x:c r="K16" t="str">
        <x:v>S05</x:v>
      </x:c>
      <x:c r="L16" t="str">
        <x:v>A_两年官方原文</x:v>
      </x:c>
    </x:row>
    <x:row r="17">
      <x:c r="A17" t="str">
        <x:v>360733</x:v>
      </x:c>
      <x:c r="B17" t="str">
        <x:v>会昌县</x:v>
      </x:c>
      <x:c r="C17" t="n">
        <x:v>449300</x:v>
      </x:c>
      <x:c r="D17" t="n">
        <x:v>450800</x:v>
      </x:c>
      <x:c r="E17" t="n">
        <x:f>D17-C17</x:f>
        <x:v>1500</x:v>
      </x:c>
      <x:c r="F17" s="18" t="n">
        <x:f>IFERROR(E17/C17,"")</x:f>
        <x:v>0.0033385265969285557</x:v>
      </x:c>
      <x:c r="G17" t="n">
        <x:v>57.81</x:v>
      </x:c>
      <x:c r="H17" t="n">
        <x:v>59.23</x:v>
      </x:c>
      <x:c r="I17" t="n">
        <x:f>H17-G17</x:f>
        <x:v>1.4199999999999946</x:v>
      </x:c>
      <x:c r="J17" t="str">
        <x:v>S06</x:v>
      </x:c>
      <x:c r="K17" t="str">
        <x:v>S05</x:v>
      </x:c>
      <x:c r="L17" t="str">
        <x:v>A_两年官方原文</x:v>
      </x:c>
    </x:row>
    <x:row r="18">
      <x:c r="A18" t="str">
        <x:v>360734</x:v>
      </x:c>
      <x:c r="B18" t="str">
        <x:v>寻乌县</x:v>
      </x:c>
      <x:c r="C18" t="n">
        <x:v>279700</x:v>
      </x:c>
      <x:c r="D18" t="n">
        <x:v>279700</x:v>
      </x:c>
      <x:c r="E18" t="n">
        <x:f>D18-C18</x:f>
        <x:v>0</x:v>
      </x:c>
      <x:c r="F18" s="18" t="n">
        <x:f>IFERROR(E18/C18,"")</x:f>
        <x:v>0</x:v>
      </x:c>
      <x:c r="G18" t="n">
        <x:v>54.24</x:v>
      </x:c>
      <x:c r="H18" t="n">
        <x:v>55.69</x:v>
      </x:c>
      <x:c r="I18" t="n">
        <x:f>H18-G18</x:f>
        <x:v>1.4499999999999957</x:v>
      </x:c>
      <x:c r="J18" t="str">
        <x:v>S06</x:v>
      </x:c>
      <x:c r="K18" t="str">
        <x:v>S05</x:v>
      </x:c>
      <x:c r="L18" t="str">
        <x:v>A_两年官方原文</x:v>
      </x:c>
    </x:row>
    <x:row r="19">
      <x:c r="A19" t="str">
        <x:v>360735</x:v>
      </x:c>
      <x:c r="B19" t="str">
        <x:v>石城县</x:v>
      </x:c>
      <x:c r="C19" t="n">
        <x:v>281200</x:v>
      </x:c>
      <x:c r="D19" t="n">
        <x:v>280500</x:v>
      </x:c>
      <x:c r="E19" t="n">
        <x:f>D19-C19</x:f>
        <x:v>-700</x:v>
      </x:c>
      <x:c r="F19" s="18" t="n">
        <x:f>IFERROR(E19/C19,"")</x:f>
        <x:v>-0.0024893314366998577</x:v>
      </x:c>
      <x:c r="G19" t="n">
        <x:v>51.76</x:v>
      </x:c>
      <x:c r="H19" t="n">
        <x:v>53.34</x:v>
      </x:c>
      <x:c r="I19" t="n">
        <x:f>H19-G19</x:f>
        <x:v>1.5800000000000054</x:v>
      </x:c>
      <x:c r="J19" t="str">
        <x:v>S06</x:v>
      </x:c>
      <x:c r="K19" t="str">
        <x:v>S05</x:v>
      </x:c>
      <x:c r="L19" t="str">
        <x:v>A_两年官方原文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24" hidden="0" customWidth="1"/>
    <x:col min="4" max="4" width="20" hidden="0" customWidth="1"/>
    <x:col min="5" max="5" width="20" hidden="0" customWidth="1"/>
    <x:col min="6" max="6" width="21" hidden="0" customWidth="1"/>
    <x:col min="7" max="7" width="23" hidden="0" customWidth="1"/>
    <x:col min="8" max="8" width="32" hidden="0" customWidth="1"/>
    <x:col min="9" max="9" width="34" hidden="0" customWidth="1"/>
  </x:cols>
  <x:sheetData>
    <x:row r="1" ht="29" customHeight="1">
      <x:c r="A1" s="89" t="str">
        <x:v>地区</x:v>
      </x:c>
      <x:c r="B1" s="89" t="str">
        <x:v>年份</x:v>
      </x:c>
      <x:c r="C1" s="89" t="str">
        <x:v>年末常住人口人</x:v>
      </x:c>
      <x:c r="D1" s="89" t="str">
        <x:v>当年出生人数</x:v>
      </x:c>
      <x:c r="E1" s="89" t="str">
        <x:v>当年死亡人数</x:v>
      </x:c>
      <x:c r="F1" s="89" t="str">
        <x:v>自然变动人数</x:v>
      </x:c>
      <x:c r="G1" s="89" t="str">
        <x:v>对上年人口变化</x:v>
      </x:c>
      <x:c r="H1" s="89" t="str">
        <x:v>未解释残差(不等于净迁移)</x:v>
      </x:c>
      <x:c r="I1" s="89" t="str">
        <x:v>来源证据</x:v>
      </x:c>
    </x:row>
    <x:row r="2">
      <x:c r="A2" t="str">
        <x:v>峡江县</x:v>
      </x:c>
      <x:c r="B2" t="n">
        <x:v>2024</x:v>
      </x:c>
      <x:c r="C2" t="n">
        <x:v>146153</x:v>
      </x:c>
      <x:c r="D2"/>
      <x:c r="E2"/>
      <x:c r="F2"/>
      <x:c r="G2"/>
      <x:c r="H2"/>
      <x:c r="I2" t="str">
        <x:v>B_转载</x:v>
      </x:c>
    </x:row>
    <x:row r="3">
      <x:c r="A3" t="str">
        <x:v>峡江县</x:v>
      </x:c>
      <x:c r="B3" t="n">
        <x:v>2025</x:v>
      </x:c>
      <x:c r="C3" t="n">
        <x:v>142688</x:v>
      </x:c>
      <x:c r="D3" t="n">
        <x:v>931</x:v>
      </x:c>
      <x:c r="E3" t="n">
        <x:v>1048</x:v>
      </x:c>
      <x:c r="F3" t="n">
        <x:f>D3-E3</x:f>
        <x:v>-117</x:v>
      </x:c>
      <x:c r="G3" t="n">
        <x:f>C3-C2</x:f>
        <x:v>-3465</x:v>
      </x:c>
      <x:c r="H3" t="n">
        <x:f>G3-F3</x:f>
        <x:v>-3348</x:v>
      </x:c>
      <x:c r="I3" t="str">
        <x:v>B_转载</x:v>
      </x:c>
    </x:row>
    <x:row r="4">
      <x:c r="A4" t="str">
        <x:v>江西省</x:v>
      </x:c>
      <x:c r="B4" t="n">
        <x:v>2024</x:v>
      </x:c>
      <x:c r="C4" t="n">
        <x:v>45020000</x:v>
      </x:c>
      <x:c r="D4"/>
      <x:c r="E4"/>
      <x:c r="F4"/>
      <x:c r="G4"/>
      <x:c r="H4"/>
      <x:c r="I4" t="str">
        <x:v>A_据官方2025数据反推</x:v>
      </x:c>
    </x:row>
    <x:row r="5">
      <x:c r="A5" t="str">
        <x:v>江西省</x:v>
      </x:c>
      <x:c r="B5" t="n">
        <x:v>2025</x:v>
      </x:c>
      <x:c r="C5" t="n">
        <x:v>44740000</x:v>
      </x:c>
      <x:c r="D5" t="n">
        <x:v>248000</x:v>
      </x:c>
      <x:c r="E5" t="n">
        <x:v>337000</x:v>
      </x:c>
      <x:c r="F5" t="n">
        <x:f>D5-E5</x:f>
        <x:v>-89000</x:v>
      </x:c>
      <x:c r="G5" t="n">
        <x:f>C5-C4</x:f>
        <x:v>-280000</x:v>
      </x:c>
      <x:c r="H5" t="n">
        <x:f>G5-F5</x:f>
        <x:v>-191000</x:v>
      </x:c>
      <x:c r="I5" t="str">
        <x:v>A_官方刊载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44" hidden="0" customWidth="1"/>
    <x:col min="4" max="4" width="19" hidden="0" customWidth="1"/>
    <x:col min="5" max="5" width="15" hidden="0" customWidth="1"/>
    <x:col min="6" max="6" width="15" hidden="0" customWidth="1"/>
    <x:col min="7" max="7" width="75" hidden="0" customWidth="1"/>
  </x:cols>
  <x:sheetData>
    <x:row r="1" ht="29" customHeight="1">
      <x:c r="A1" s="89" t="str">
        <x:v>范围</x:v>
      </x:c>
      <x:c r="B1" s="89" t="str">
        <x:v>期间/状态</x:v>
      </x:c>
      <x:c r="C1" s="89" t="str">
        <x:v>财务指标</x:v>
      </x:c>
      <x:c r="D1" s="89" t="str">
        <x:v>数值</x:v>
      </x:c>
      <x:c r="E1" s="89" t="str">
        <x:v>单位</x:v>
      </x:c>
      <x:c r="F1" s="89" t="str">
        <x:v>证据ID</x:v>
      </x:c>
      <x:c r="G1" s="89" t="str">
        <x:v>比较禁忌</x:v>
      </x:c>
    </x:row>
    <x:row r="2">
      <x:c r="A2" t="str">
        <x:v>江西全省</x:v>
      </x:c>
      <x:c r="B2" t="str">
        <x:v>2025执行</x:v>
      </x:c>
      <x:c r="C2" t="str">
        <x:v>社保基金收入</x:v>
      </x:c>
      <x:c r="D2" t="n">
        <x:v>2735.8</x:v>
      </x:c>
      <x:c r="E2" t="str">
        <x:v>亿元</x:v>
      </x:c>
      <x:c r="F2" t="str">
        <x:v>S09</x:v>
      </x:c>
      <x:c r="G2" t="str">
        <x:v>含养老医保工伤等险种</x:v>
      </x:c>
    </x:row>
    <x:row r="3">
      <x:c r="A3" t="str">
        <x:v>江西全省</x:v>
      </x:c>
      <x:c r="B3" t="str">
        <x:v>2025执行</x:v>
      </x:c>
      <x:c r="C3" t="str">
        <x:v>社保基金支出</x:v>
      </x:c>
      <x:c r="D3" t="n">
        <x:v>2603</x:v>
      </x:c>
      <x:c r="E3" t="str">
        <x:v>亿元</x:v>
      </x:c>
      <x:c r="F3" t="str">
        <x:v>S09</x:v>
      </x:c>
      <x:c r="G3" t="str">
        <x:v>非养老金独立支出</x:v>
      </x:c>
    </x:row>
    <x:row r="4">
      <x:c r="A4" t="str">
        <x:v>江西省级</x:v>
      </x:c>
      <x:c r="B4" t="str">
        <x:v>2025决算</x:v>
      </x:c>
      <x:c r="C4" t="str">
        <x:v>社保基金收入</x:v>
      </x:c>
      <x:c r="D4" t="n">
        <x:v>1398.9</x:v>
      </x:c>
      <x:c r="E4" t="str">
        <x:v>亿元</x:v>
      </x:c>
      <x:c r="F4" t="str">
        <x:v>S10</x:v>
      </x:c>
      <x:c r="G4" t="str">
        <x:v>省级决算与全省执行不是同层级</x:v>
      </x:c>
    </x:row>
    <x:row r="5">
      <x:c r="A5" t="str">
        <x:v>江西省级</x:v>
      </x:c>
      <x:c r="B5" t="str">
        <x:v>2025决算</x:v>
      </x:c>
      <x:c r="C5" t="str">
        <x:v>社保基金支出</x:v>
      </x:c>
      <x:c r="D5" t="n">
        <x:v>1372.9</x:v>
      </x:c>
      <x:c r="E5" t="str">
        <x:v>亿元</x:v>
      </x:c>
      <x:c r="F5" t="str">
        <x:v>S10</x:v>
      </x:c>
      <x:c r="G5" t="str">
        <x:v>不得直接与全省执行数据相减</x:v>
      </x:c>
    </x:row>
    <x:row r="6">
      <x:c r="A6" t="str">
        <x:v>峡江县</x:v>
      </x:c>
      <x:c r="B6" t="str">
        <x:v>2025县统计公报</x:v>
      </x:c>
      <x:c r="C6" t="str">
        <x:v>三类养老金金额加总</x:v>
      </x:c>
      <x:c r="D6" t="n">
        <x:v>53700.58</x:v>
      </x:c>
      <x:c r="E6" t="str">
        <x:v>万元</x:v>
      </x:c>
      <x:c r="F6" t="str">
        <x:v>S02</x:v>
      </x:c>
      <x:c r="G6" t="str">
        <x:v>不可对比一般公共预算功能科目</x:v>
      </x:c>
    </x:row>
    <x:row r="7">
      <x:c r="A7" t="str">
        <x:v>峡江县</x:v>
      </x:c>
      <x:c r="B7" t="str">
        <x:v>2025县统计公报</x:v>
      </x:c>
      <x:c r="C7" t="str">
        <x:v>一般公共预算社会保障和就业支出</x:v>
      </x:c>
      <x:c r="D7" t="n">
        <x:v>42516</x:v>
      </x:c>
      <x:c r="E7" t="str">
        <x:v>万元</x:v>
      </x:c>
      <x:c r="F7" t="str">
        <x:v>S02</x:v>
      </x:c>
      <x:c r="G7" t="str">
        <x:v>包括不同社保就业开支，不是同个基金账</x:v>
      </x:c>
    </x:row>
    <x:row r="8">
      <x:c r="A8" t="str">
        <x:v>吉安县</x:v>
      </x:c>
      <x:c r="B8" t="str">
        <x:v>2025县统计公报</x:v>
      </x:c>
      <x:c r="C8" t="str">
        <x:v>三类养老金金额加总</x:v>
      </x:c>
      <x:c r="D8" t="n">
        <x:v>113500</x:v>
      </x:c>
      <x:c r="E8" t="str">
        <x:v>万元</x:v>
      </x:c>
      <x:c r="F8" t="str">
        <x:v>S04</x:v>
      </x:c>
      <x:c r="G8" t="str">
        <x:v>数据转载；包含不同群体</x:v>
      </x:c>
    </x:row>
    <x:row r="9">
      <x:c r="A9" t="str">
        <x:v>吉安县</x:v>
      </x:c>
      <x:c r="B9" t="str">
        <x:v>2025县统计公报</x:v>
      </x:c>
      <x:c r="C9" t="str">
        <x:v>一般公共预算社会保障和就业支出</x:v>
      </x:c>
      <x:c r="D9" t="n">
        <x:v>78400</x:v>
      </x:c>
      <x:c r="E9" t="str">
        <x:v>万元</x:v>
      </x:c>
      <x:c r="F9" t="str">
        <x:v>S04</x:v>
      </x:c>
      <x:c r="G9" t="str">
        <x:v>一般公共预算科目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7" hidden="0" customWidth="1"/>
    <x:col min="2" max="2" width="20" hidden="0" customWidth="1"/>
    <x:col min="3" max="3" width="19" hidden="0" customWidth="1"/>
    <x:col min="4" max="4" width="48" hidden="0" customWidth="1"/>
    <x:col min="5" max="5" width="55" hidden="0" customWidth="1"/>
    <x:col min="6" max="6" width="58" hidden="0" customWidth="1"/>
  </x:cols>
  <x:sheetData>
    <x:row r="1" ht="29" customHeight="1">
      <x:c r="A1" s="89" t="str">
        <x:v>指标</x:v>
      </x:c>
      <x:c r="B1" s="89" t="str">
        <x:v>已核实/可用样本</x:v>
      </x:c>
      <x:c r="C1" s="89" t="str">
        <x:v>分母/规划数</x:v>
      </x:c>
      <x:c r="D1" s="89" t="str">
        <x:v>范围说明</x:v>
      </x:c>
      <x:c r="E1" s="89" t="str">
        <x:v>阻断因素</x:v>
      </x:c>
      <x:c r="F1" s="89" t="str">
        <x:v>处理原则</x:v>
      </x:c>
    </x:row>
    <x:row r="2">
      <x:c r="A2" t="str">
        <x:v>县区行政名录</x:v>
      </x:c>
      <x:c r="B2" t="n">
        <x:v>100</x:v>
      </x:c>
      <x:c r="C2" t="n">
        <x:v>100</x:v>
      </x:c>
      <x:c r="D2" t="str">
        <x:v>完整名录/代码取2024版</x:v>
      </x:c>
      <x:c r="E2" t="str">
        <x:v>需逐项与民政部2025年终码表复核</x:v>
      </x:c>
      <x:c r="F2" t="str">
        <x:v>范围完整但编码未获2025年末官方最终复核</x:v>
      </x:c>
    </x:row>
    <x:row r="3">
      <x:c r="A3" t="str">
        <x:v>三类养老金额完整</x:v>
      </x:c>
      <x:c r="B3" t="n">
        <x:v>2</x:v>
      </x:c>
      <x:c r="C3" t="n">
        <x:v>100</x:v>
      </x:c>
      <x:c r="D3" t="str">
        <x:v>2025：峡江县、吉安县</x:v>
      </x:c>
      <x:c r="E3" t="str">
        <x:v>2县均来自官方稿转载、无可下载官方网页</x:v>
      </x:c>
      <x:c r="F3" t="str">
        <x:v>只做案例不代表江西全省</x:v>
      </x:c>
    </x:row>
    <x:row r="4">
      <x:c r="A4" t="str">
        <x:v>三类养老金领取人数与金额完整</x:v>
      </x:c>
      <x:c r="B4" t="n">
        <x:v>1</x:v>
      </x:c>
      <x:c r="C4" t="n">
        <x:v>100</x:v>
      </x:c>
      <x:c r="D4" t="str">
        <x:v>2025：峡江县</x:v>
      </x:c>
      <x:c r="E4" t="str">
        <x:v>2025年转载待官方终核</x:v>
      </x:c>
      <x:c r="F4" t="str">
        <x:v>估算人均使用年末人数</x:v>
      </x:c>
    </x:row>
    <x:row r="5">
      <x:c r="A5" t="str">
        <x:v>赣州人口两年可比</x:v>
      </x:c>
      <x:c r="B5" t="n">
        <x:v>18</x:v>
      </x:c>
      <x:c r="C5" t="n">
        <x:v>18</x:v>
      </x:c>
      <x:c r="D5" t="str">
        <x:v>县级行政区18；不包含经开/蓉江功能区</x:v>
      </x:c>
      <x:c r="E5" t="str">
        <x:v>2024/25两个政府网页可核</x:v>
      </x:c>
      <x:c r="F5" t="str">
        <x:v>城市数据不等于仅18行政区加总</x:v>
      </x:c>
    </x:row>
    <x:row r="6">
      <x:c r="A6" t="str">
        <x:v>全省公积金缴存量</x:v>
      </x:c>
      <x:c r="B6" t="n">
        <x:v>1</x:v>
      </x:c>
      <x:c r="C6" t="n">
        <x:v>1</x:v>
      </x:c>
      <x:c r="D6" t="str">
        <x:v>省住建厅年报</x:v>
      </x:c>
      <x:c r="E6" t="str">
        <x:v>全省数据可从官方稿核</x:v>
      </x:c>
      <x:c r="F6" t="str">
        <x:v>不能按人口下推县级</x:v>
      </x:c>
    </x:row>
    <x:row r="7">
      <x:c r="A7" t="str">
        <x:v>分市公积金表</x:v>
      </x:c>
      <x:c r="B7" t="n">
        <x:v>11</x:v>
      </x:c>
      <x:c r="C7" t="n">
        <x:v>11</x:v>
      </x:c>
      <x:c r="D7" t="str">
        <x:v>沿用上一版图片转录</x:v>
      </x:c>
      <x:c r="E7" t="str">
        <x:v>当前尚未逐行官方图片人工复核</x:v>
      </x:c>
      <x:c r="F7" t="str">
        <x:v>不得据此宣称已完成独立交叉复核</x:v>
      </x:c>
    </x:row>
    <x:row r="8">
      <x:c r="A8" t="str">
        <x:v>原网页快照</x:v>
      </x:c>
      <x:c r="B8" t="n">
        <x:v>0</x:v>
      </x:c>
      <x:c r="C8" t="n">
        <x:v>16</x:v>
      </x:c>
      <x:c r="D8" t="str">
        <x:v>已保存直接URL与定位文字</x:v>
      </x:c>
      <x:c r="E8" t="str">
        <x:v>源文件下载失败，哈希不可用</x:v>
      </x:c>
      <x:c r="F8" t="str">
        <x:v>本地仅保存结构化记录</x:v>
      </x:c>
    </x:row>
    <x:row r="9">
      <x:c r="A9" t="str">
        <x:v>因果分析可行性</x:v>
      </x:c>
      <x:c r="B9" t="n">
        <x:v>0</x:v>
      </x:c>
      <x:c r="C9" t="n">
        <x:v>5</x:v>
      </x:c>
      <x:c r="D9" t="str">
        <x:v>目前只具备描述性县区少量观察</x:v>
      </x:c>
      <x:c r="E9" t="str">
        <x:v>不存在识别设计与个体数据</x:v>
      </x:c>
      <x:c r="F9" t="str">
        <x:v>不得进行政策因果归因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7" hidden="0" customWidth="1"/>
    <x:col min="3" max="3" width="66" hidden="0" customWidth="1"/>
    <x:col min="4" max="4" width="23" hidden="0" customWidth="1"/>
    <x:col min="5" max="5" width="24" hidden="0" customWidth="1"/>
    <x:col min="6" max="6" width="57" hidden="0" customWidth="1"/>
    <x:col min="7" max="7" width="46" hidden="0" customWidth="1"/>
    <x:col min="8" max="8" width="26" hidden="0" customWidth="1"/>
  </x:cols>
  <x:sheetData>
    <x:row r="1" ht="29" customHeight="1">
      <x:c r="A1" s="89" t="str">
        <x:v>假说</x:v>
      </x:c>
      <x:c r="B1" s="89" t="str">
        <x:v>命题</x:v>
      </x:c>
      <x:c r="C1" s="89" t="str">
        <x:v>可观测预测/公式</x:v>
      </x:c>
      <x:c r="D1" s="89" t="str">
        <x:v>当前证据</x:v>
      </x:c>
      <x:c r="E1" s="89" t="str">
        <x:v>证据性质</x:v>
      </x:c>
      <x:c r="F1" s="89" t="str">
        <x:v>竞争解释或限制</x:v>
      </x:c>
      <x:c r="G1" s="89" t="str">
        <x:v>新增证据</x:v>
      </x:c>
      <x:c r="H1" s="89" t="str">
        <x:v>判定</x:v>
      </x:c>
    </x:row>
    <x:row r="2">
      <x:c r="A2" t="str">
        <x:v>H1</x:v>
      </x:c>
      <x:c r="B2" t="str">
        <x:v>职业与制度历史影响人均养老金</x:v>
      </x:c>
      <x:c r="C2" t="str">
        <x:v>同县内三类待遇均值存在差异</x:v>
      </x:c>
      <x:c r="D2" t="str">
        <x:v>峡江2024—25</x:v>
      </x:c>
      <x:c r="E2" t="str">
        <x:v>可观察差距</x:v>
      </x:c>
      <x:c r="F2" t="str">
        <x:v>无法控制缴费年限、工资、补充年金</x:v>
      </x:c>
      <x:c r="G2" t="str">
        <x:v>收集分退休年份缴费年限/年金数据</x:v>
      </x:c>
      <x:c r="H2" t="str">
        <x:v>待验证</x:v>
      </x:c>
    </x:row>
    <x:row r="3">
      <x:c r="A3" t="str">
        <x:v>H2</x:v>
      </x:c>
      <x:c r="B3" t="str">
        <x:v>养老金金额占比由人数与待遇共同决定</x:v>
      </x:c>
      <x:c r="C3" t="str">
        <x:v>A_g/ΣA = N_g×(A_g/N_g)/Σ[N×(A/N)]</x:v>
      </x:c>
      <x:c r="D3" t="str">
        <x:v>峡江和吉安</x:v>
      </x:c>
      <x:c r="E3" t="str">
        <x:v>结构恒等式</x:v>
      </x:c>
      <x:c r="F3" t="str">
        <x:v>年末N不等于全年平均N</x:v>
      </x:c>
      <x:c r="G3" t="str">
        <x:v>养老金经办月度领取人月数</x:v>
      </x:c>
      <x:c r="H3" t="str">
        <x:v>恒等成立但机制未识别</x:v>
      </x:c>
    </x:row>
    <x:row r="4">
      <x:c r="A4" t="str">
        <x:v>H3</x:v>
      </x:c>
      <x:c r="B4" t="str">
        <x:v>人口变动残差部分来自迁移</x:v>
      </x:c>
      <x:c r="C4" t="str">
        <x:v>年末变动-自然变动具有显著绝对值</x:v>
      </x:c>
      <x:c r="D4" t="str">
        <x:v>峡江、省宏观</x:v>
      </x:c>
      <x:c r="E4" t="str">
        <x:v>计算残差</x:v>
      </x:c>
      <x:c r="F4" t="str">
        <x:v>人口统计修订与统计范围变化</x:v>
      </x:c>
      <x:c r="G4" t="str">
        <x:v>公安迁移登记/抽样迁移调查</x:v>
      </x:c>
      <x:c r="H4" t="str">
        <x:v>非已证实净迁移</x:v>
      </x:c>
    </x:row>
    <x:row r="5">
      <x:c r="A5" t="str">
        <x:v>H4</x:v>
      </x:c>
      <x:c r="B5" t="str">
        <x:v>县域公积金覆盖关联正规就业结构</x:v>
      </x:c>
      <x:c r="C5" t="str">
        <x:v>不同市人均缴存存在差异</x:v>
      </x:c>
      <x:c r="D5" t="str">
        <x:v>11市旧版汇编</x:v>
      </x:c>
      <x:c r="E5" t="str">
        <x:v>探索性</x:v>
      </x:c>
      <x:c r="F5" t="str">
        <x:v>没有县级正式就业人数/缴存工资</x:v>
      </x:c>
      <x:c r="G5" t="str">
        <x:v>市公积金中心按职业性质披露</x:v>
      </x:c>
      <x:c r="H5" t="str">
        <x:v>研究假说</x:v>
      </x:c>
    </x:row>
    <x:row r="6">
      <x:c r="A6" t="str">
        <x:v>H5</x:v>
      </x:c>
      <x:c r="B6" t="str">
        <x:v>县财政社保预算额不等于同级养老金成本</x:v>
      </x:c>
      <x:c r="C6" t="str">
        <x:v>基金预算与一般公共预算概念不同</x:v>
      </x:c>
      <x:c r="D6" t="str">
        <x:v>江西财政决算</x:v>
      </x:c>
      <x:c r="E6" t="str">
        <x:v>预算制度规定</x:v>
      </x:c>
      <x:c r="F6" t="str">
        <x:v>不能估计县级养老金赤字</x:v>
      </x:c>
      <x:c r="G6" t="str">
        <x:v>同险种决算与统筹调剂台账</x:v>
      </x:c>
      <x:c r="H6" t="str">
        <x:v>规则明确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112" hidden="0" customWidth="1"/>
  </x:cols>
  <x:sheetData>
    <x:row r="1" ht="29" customHeight="1">
      <x:c r="A1" s="89" t="str">
        <x:v>步骤</x:v>
      </x:c>
      <x:c r="B1" s="89" t="str">
        <x:v>解释</x:v>
      </x:c>
    </x:row>
    <x:row r="2">
      <x:c r="A2" t="str">
        <x:v>01</x:v>
      </x:c>
      <x:c r="B2" t="str">
        <x:v>从【研究入口_新】开始阅读，新工作表是严谨证据层；原19张表保留作工作草稿，不等于全部官方终核。</x:v>
      </x:c>
    </x:row>
    <x:row r="3">
      <x:c r="A3" t="str">
        <x:v>02</x:v>
      </x:c>
      <x:c r="B3" t="str">
        <x:v>【证据事实142条】是规范化观察值，包含来源ID和来源核验状态；【来源索引_新】记录16份材料。</x:v>
      </x:c>
    </x:row>
    <x:row r="4">
      <x:c r="A4" t="str">
        <x:v>03</x:v>
      </x:c>
      <x:c r="B4" t="str">
        <x:v>【峡江养老金_复算】含计算公式；按年度发放额除以年末人数只能估算“月均金额代理”，非真实平均月养老金。</x:v>
      </x:c>
    </x:row>
    <x:row r="5">
      <x:c r="A5" t="str">
        <x:v>04</x:v>
      </x:c>
      <x:c r="B5" t="str">
        <x:v>【峡江金额变化分解】恒等式仅描述变化的算术贡献，不代表由人群变化因果导致的待遇改变。</x:v>
      </x:c>
    </x:row>
    <x:row r="6">
      <x:c r="A6" t="str">
        <x:v>05</x:v>
      </x:c>
      <x:c r="B6" t="str">
        <x:v>【县区编码100】代码基期2024，尚待2025年末民政部官方逐项核验。</x:v>
      </x:c>
    </x:row>
    <x:row r="7">
      <x:c r="A7" t="str">
        <x:v>06</x:v>
      </x:c>
      <x:c r="B7" t="str">
        <x:v>本项目研究文件还包含Python脚本、单元测试、CSV及报告；详见打包ZIP的README。</x:v>
      </x:c>
    </x:row>
    <x:row r="8">
      <x:c r="A8" t="str">
        <x:v>07</x:v>
      </x:c>
      <x:c r="B8" t="str">
        <x:v>源网址核验完成但原始快照/哈希尚缺；不能宣称已经备份政府源页面。</x:v>
      </x:c>
    </x:row>
    <x:row r="9">
      <x:c r="A9" t="str">
        <x:v>08</x:v>
      </x:c>
      <x:c r="B9" t="str">
        <x:v>2025年公积金官方表格的各市数字继承旧工作簿，尚未对原始图片逐行复查。</x:v>
      </x:c>
    </x:row>
  </x:sheetData>
  <x:pageMargins left="0.7" right="0.7" top="0.75" bottom="0.75" header="0.3" footer="0.3"/>
</x:worksheet>
</file>